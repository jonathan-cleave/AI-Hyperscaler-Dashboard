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ocuments\Calpoly MSBA\Spring\Finance Analytics\Project 2\Data\"/>
    </mc:Choice>
  </mc:AlternateContent>
  <xr:revisionPtr revIDLastSave="0" documentId="13_ncr:1_{A4C25A04-169C-4276-9ABC-581E0E05277C}" xr6:coauthVersionLast="47" xr6:coauthVersionMax="47" xr10:uidLastSave="{00000000-0000-0000-0000-000000000000}"/>
  <bookViews>
    <workbookView xWindow="-110" yWindow="-110" windowWidth="25820" windowHeight="15500" firstSheet="1" activeTab="3" xr2:uid="{3F429AB5-DD66-46F0-A60F-19AD966D66FF}"/>
  </bookViews>
  <sheets>
    <sheet name="Income Statement" sheetId="2" r:id="rId1"/>
    <sheet name="Balance Sheet" sheetId="3" r:id="rId2"/>
    <sheet name="Cash Flow" sheetId="4" r:id="rId3"/>
    <sheet name="Ratios" sheetId="6" r:id="rId4"/>
    <sheet name="Comps" sheetId="10" r:id="rId5"/>
    <sheet name="MSFT Valuation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6" l="1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2" i="6"/>
  <c r="T76" i="6"/>
  <c r="T77" i="6"/>
  <c r="T78" i="6"/>
  <c r="T70" i="6"/>
  <c r="T71" i="6"/>
  <c r="T72" i="6"/>
  <c r="T73" i="6"/>
  <c r="T74" i="6"/>
  <c r="T75" i="6"/>
  <c r="T63" i="6"/>
  <c r="T64" i="6"/>
  <c r="T65" i="6"/>
  <c r="T66" i="6"/>
  <c r="T67" i="6"/>
  <c r="T68" i="6"/>
  <c r="T69" i="6"/>
  <c r="T62" i="6"/>
  <c r="T61" i="6"/>
  <c r="T60" i="6"/>
  <c r="T59" i="6"/>
  <c r="T56" i="6"/>
  <c r="T57" i="6"/>
  <c r="T58" i="6"/>
  <c r="T53" i="6"/>
  <c r="T54" i="6"/>
  <c r="T55" i="6"/>
  <c r="T43" i="6"/>
  <c r="T44" i="6"/>
  <c r="T45" i="6"/>
  <c r="T46" i="6"/>
  <c r="T47" i="6"/>
  <c r="T48" i="6"/>
  <c r="T49" i="6"/>
  <c r="T50" i="6"/>
  <c r="T51" i="6"/>
  <c r="T52" i="6"/>
  <c r="T42" i="6"/>
  <c r="T41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22" i="6"/>
  <c r="T21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" i="6"/>
  <c r="AE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2" i="6"/>
  <c r="D67" i="6"/>
  <c r="D66" i="6"/>
  <c r="D65" i="6"/>
  <c r="R47" i="6"/>
  <c r="Q44" i="6"/>
  <c r="D55" i="6"/>
  <c r="D56" i="6"/>
  <c r="D54" i="6"/>
  <c r="AK22" i="6"/>
  <c r="AK23" i="6"/>
  <c r="AK24" i="6"/>
  <c r="AK25" i="6"/>
  <c r="AK26" i="6"/>
  <c r="AK27" i="6"/>
  <c r="AK28" i="6"/>
  <c r="AK29" i="6"/>
  <c r="AK30" i="6"/>
  <c r="AK31" i="6"/>
  <c r="AJ32" i="6"/>
  <c r="AK32" i="6"/>
  <c r="AK33" i="6"/>
  <c r="AK34" i="6"/>
  <c r="AI34" i="6"/>
  <c r="AH34" i="6"/>
  <c r="AG30" i="6"/>
  <c r="AG31" i="6"/>
  <c r="AG32" i="6"/>
  <c r="AG33" i="6"/>
  <c r="AG34" i="6"/>
  <c r="W18" i="6"/>
  <c r="W30" i="6"/>
  <c r="X30" i="6"/>
  <c r="W31" i="6"/>
  <c r="X31" i="6"/>
  <c r="U30" i="6"/>
  <c r="C32" i="6"/>
  <c r="U31" i="6" s="1"/>
  <c r="P17" i="6"/>
  <c r="R17" i="6" s="1"/>
  <c r="P16" i="6"/>
  <c r="R16" i="6" s="1"/>
  <c r="P14" i="6"/>
  <c r="P13" i="6"/>
  <c r="R13" i="6" s="1"/>
  <c r="P12" i="6"/>
  <c r="R12" i="6" s="1"/>
  <c r="P10" i="6"/>
  <c r="R10" i="6" s="1"/>
  <c r="P9" i="6"/>
  <c r="R9" i="6" s="1"/>
  <c r="R78" i="6"/>
  <c r="R71" i="6"/>
  <c r="R70" i="6"/>
  <c r="R69" i="6"/>
  <c r="R61" i="6"/>
  <c r="R60" i="6"/>
  <c r="R59" i="6"/>
  <c r="R58" i="6"/>
  <c r="R57" i="6"/>
  <c r="R41" i="6"/>
  <c r="R40" i="6"/>
  <c r="R39" i="6"/>
  <c r="R32" i="6"/>
  <c r="R21" i="6"/>
  <c r="R20" i="6"/>
  <c r="R19" i="6"/>
  <c r="R18" i="6"/>
  <c r="R15" i="6"/>
  <c r="R11" i="6"/>
  <c r="R8" i="6"/>
  <c r="R7" i="6"/>
  <c r="R6" i="6"/>
  <c r="R5" i="6"/>
  <c r="R4" i="6"/>
  <c r="R3" i="6"/>
  <c r="R2" i="6"/>
  <c r="F2" i="6"/>
  <c r="F3" i="6"/>
  <c r="F4" i="6"/>
  <c r="F5" i="6"/>
  <c r="F6" i="6"/>
  <c r="AK6" i="6" s="1"/>
  <c r="F7" i="6"/>
  <c r="F8" i="6"/>
  <c r="AK8" i="6" s="1"/>
  <c r="F9" i="6"/>
  <c r="AK9" i="6" s="1"/>
  <c r="F10" i="6"/>
  <c r="AK10" i="6" s="1"/>
  <c r="F11" i="6"/>
  <c r="AK11" i="6" s="1"/>
  <c r="F12" i="6"/>
  <c r="F13" i="6"/>
  <c r="AK13" i="6" s="1"/>
  <c r="F14" i="6"/>
  <c r="F15" i="6"/>
  <c r="AK15" i="6" s="1"/>
  <c r="F16" i="6"/>
  <c r="AK16" i="6" s="1"/>
  <c r="F17" i="6"/>
  <c r="AK17" i="6" s="1"/>
  <c r="F18" i="6"/>
  <c r="X18" i="6" s="1"/>
  <c r="F19" i="6"/>
  <c r="F20" i="6"/>
  <c r="F21" i="6"/>
  <c r="AK21" i="6" s="1"/>
  <c r="F35" i="6"/>
  <c r="AK35" i="6" s="1"/>
  <c r="F36" i="6"/>
  <c r="AK36" i="6" s="1"/>
  <c r="F37" i="6"/>
  <c r="F38" i="6"/>
  <c r="F39" i="6"/>
  <c r="F40" i="6"/>
  <c r="F41" i="6"/>
  <c r="F42" i="6"/>
  <c r="AK42" i="6" s="1"/>
  <c r="F43" i="6"/>
  <c r="AK43" i="6" s="1"/>
  <c r="F44" i="6"/>
  <c r="F45" i="6"/>
  <c r="F46" i="6"/>
  <c r="F47" i="6"/>
  <c r="AK47" i="6" s="1"/>
  <c r="F48" i="6"/>
  <c r="AK48" i="6" s="1"/>
  <c r="F49" i="6"/>
  <c r="AK49" i="6" s="1"/>
  <c r="F50" i="6"/>
  <c r="AK50" i="6" s="1"/>
  <c r="F51" i="6"/>
  <c r="AK51" i="6" s="1"/>
  <c r="F52" i="6"/>
  <c r="F53" i="6"/>
  <c r="AK54" i="6"/>
  <c r="AK55" i="6"/>
  <c r="AK56" i="6"/>
  <c r="F57" i="6"/>
  <c r="F58" i="6"/>
  <c r="F59" i="6"/>
  <c r="F60" i="6"/>
  <c r="F61" i="6"/>
  <c r="AK61" i="6" s="1"/>
  <c r="F62" i="6"/>
  <c r="F63" i="6"/>
  <c r="AK63" i="6" s="1"/>
  <c r="F64" i="6"/>
  <c r="AK64" i="6" s="1"/>
  <c r="F65" i="6"/>
  <c r="F66" i="6"/>
  <c r="F67" i="6"/>
  <c r="F68" i="6"/>
  <c r="F69" i="6"/>
  <c r="F70" i="6"/>
  <c r="F71" i="6"/>
  <c r="F72" i="6"/>
  <c r="F73" i="6"/>
  <c r="AK73" i="6" s="1"/>
  <c r="F74" i="6"/>
  <c r="AK74" i="6" s="1"/>
  <c r="F75" i="6"/>
  <c r="F76" i="6"/>
  <c r="AK76" i="6" s="1"/>
  <c r="F77" i="6"/>
  <c r="F78" i="6"/>
  <c r="F79" i="6"/>
  <c r="F80" i="6"/>
  <c r="J2" i="6"/>
  <c r="L2" i="6"/>
  <c r="J3" i="6"/>
  <c r="L3" i="6"/>
  <c r="J4" i="6"/>
  <c r="L4" i="6"/>
  <c r="AF4" i="6" s="1"/>
  <c r="J5" i="6"/>
  <c r="L5" i="6"/>
  <c r="J6" i="6"/>
  <c r="L6" i="6"/>
  <c r="J7" i="6"/>
  <c r="L7" i="6"/>
  <c r="J8" i="6"/>
  <c r="L8" i="6"/>
  <c r="AF8" i="6" s="1"/>
  <c r="J9" i="6"/>
  <c r="L9" i="6"/>
  <c r="J10" i="6"/>
  <c r="L10" i="6"/>
  <c r="J11" i="6"/>
  <c r="L11" i="6"/>
  <c r="J12" i="6"/>
  <c r="L12" i="6"/>
  <c r="J13" i="6"/>
  <c r="L13" i="6"/>
  <c r="J14" i="6"/>
  <c r="L14" i="6"/>
  <c r="J15" i="6"/>
  <c r="L15" i="6"/>
  <c r="J16" i="6"/>
  <c r="L16" i="6"/>
  <c r="J17" i="6"/>
  <c r="L17" i="6"/>
  <c r="J18" i="6"/>
  <c r="L18" i="6"/>
  <c r="J19" i="6"/>
  <c r="L19" i="6"/>
  <c r="J20" i="6"/>
  <c r="L20" i="6"/>
  <c r="J21" i="6"/>
  <c r="L21" i="6"/>
  <c r="AF21" i="6" s="1"/>
  <c r="J22" i="6"/>
  <c r="L22" i="6"/>
  <c r="J23" i="6"/>
  <c r="L23" i="6"/>
  <c r="J24" i="6"/>
  <c r="L24" i="6"/>
  <c r="J25" i="6"/>
  <c r="L25" i="6"/>
  <c r="J26" i="6"/>
  <c r="L26" i="6"/>
  <c r="J27" i="6"/>
  <c r="L27" i="6"/>
  <c r="J28" i="6"/>
  <c r="L28" i="6"/>
  <c r="J29" i="6"/>
  <c r="L29" i="6"/>
  <c r="J30" i="6"/>
  <c r="L30" i="6"/>
  <c r="J31" i="6"/>
  <c r="L31" i="6"/>
  <c r="J32" i="6"/>
  <c r="L32" i="6"/>
  <c r="J33" i="6"/>
  <c r="L33" i="6"/>
  <c r="J34" i="6"/>
  <c r="L34" i="6"/>
  <c r="J35" i="6"/>
  <c r="L35" i="6"/>
  <c r="J36" i="6"/>
  <c r="L36" i="6"/>
  <c r="J37" i="6"/>
  <c r="L37" i="6"/>
  <c r="J38" i="6"/>
  <c r="L38" i="6"/>
  <c r="J39" i="6"/>
  <c r="L39" i="6"/>
  <c r="J40" i="6"/>
  <c r="L40" i="6"/>
  <c r="J41" i="6"/>
  <c r="L41" i="6"/>
  <c r="J42" i="6"/>
  <c r="L42" i="6"/>
  <c r="J43" i="6"/>
  <c r="L43" i="6"/>
  <c r="J44" i="6"/>
  <c r="L44" i="6"/>
  <c r="J45" i="6"/>
  <c r="L45" i="6"/>
  <c r="J46" i="6"/>
  <c r="L46" i="6"/>
  <c r="J47" i="6"/>
  <c r="L47" i="6"/>
  <c r="J48" i="6"/>
  <c r="L48" i="6"/>
  <c r="J49" i="6"/>
  <c r="L49" i="6"/>
  <c r="J50" i="6"/>
  <c r="L50" i="6"/>
  <c r="J51" i="6"/>
  <c r="L51" i="6"/>
  <c r="J52" i="6"/>
  <c r="L52" i="6"/>
  <c r="J53" i="6"/>
  <c r="L53" i="6"/>
  <c r="J54" i="6"/>
  <c r="L54" i="6"/>
  <c r="J55" i="6"/>
  <c r="L55" i="6"/>
  <c r="J56" i="6"/>
  <c r="L56" i="6"/>
  <c r="J57" i="6"/>
  <c r="L57" i="6"/>
  <c r="J58" i="6"/>
  <c r="L58" i="6"/>
  <c r="J59" i="6"/>
  <c r="L59" i="6"/>
  <c r="J60" i="6"/>
  <c r="L60" i="6"/>
  <c r="J61" i="6"/>
  <c r="L61" i="6"/>
  <c r="J62" i="6"/>
  <c r="L62" i="6"/>
  <c r="J63" i="6"/>
  <c r="L63" i="6"/>
  <c r="J64" i="6"/>
  <c r="L64" i="6"/>
  <c r="J65" i="6"/>
  <c r="L65" i="6"/>
  <c r="J66" i="6"/>
  <c r="L66" i="6"/>
  <c r="J67" i="6"/>
  <c r="L67" i="6"/>
  <c r="J68" i="6"/>
  <c r="L68" i="6"/>
  <c r="J69" i="6"/>
  <c r="L69" i="6"/>
  <c r="J70" i="6"/>
  <c r="L70" i="6"/>
  <c r="J71" i="6"/>
  <c r="L71" i="6"/>
  <c r="J72" i="6"/>
  <c r="L72" i="6"/>
  <c r="J73" i="6"/>
  <c r="L73" i="6"/>
  <c r="J74" i="6"/>
  <c r="L74" i="6"/>
  <c r="AF74" i="6" s="1"/>
  <c r="J75" i="6"/>
  <c r="L75" i="6"/>
  <c r="J76" i="6"/>
  <c r="L76" i="6"/>
  <c r="J77" i="6"/>
  <c r="L77" i="6"/>
  <c r="X5" i="11"/>
  <c r="Y5" i="11"/>
  <c r="Z5" i="11" s="1"/>
  <c r="AA5" i="11" s="1"/>
  <c r="C78" i="11"/>
  <c r="E66" i="11"/>
  <c r="E68" i="11" s="1"/>
  <c r="D66" i="11"/>
  <c r="D68" i="11" s="1"/>
  <c r="I30" i="11"/>
  <c r="J30" i="11"/>
  <c r="K30" i="11"/>
  <c r="I38" i="11"/>
  <c r="I39" i="11"/>
  <c r="I40" i="11"/>
  <c r="I41" i="11"/>
  <c r="I42" i="11"/>
  <c r="I43" i="11"/>
  <c r="I44" i="11"/>
  <c r="I46" i="11"/>
  <c r="I47" i="11"/>
  <c r="I48" i="11"/>
  <c r="I49" i="11"/>
  <c r="I50" i="11"/>
  <c r="I51" i="11"/>
  <c r="I55" i="11"/>
  <c r="I56" i="11"/>
  <c r="I57" i="11"/>
  <c r="I29" i="11"/>
  <c r="I31" i="11"/>
  <c r="I32" i="11"/>
  <c r="I33" i="11"/>
  <c r="I34" i="11"/>
  <c r="I35" i="11"/>
  <c r="I23" i="11"/>
  <c r="I25" i="11"/>
  <c r="I26" i="11"/>
  <c r="I27" i="11"/>
  <c r="I22" i="11"/>
  <c r="T58" i="11"/>
  <c r="T45" i="11"/>
  <c r="I45" i="11" s="1"/>
  <c r="T24" i="11"/>
  <c r="I24" i="11" s="1"/>
  <c r="T28" i="11"/>
  <c r="T36" i="11" s="1"/>
  <c r="I36" i="11" s="1"/>
  <c r="V7" i="11"/>
  <c r="K7" i="11" s="1"/>
  <c r="L5" i="11"/>
  <c r="W5" i="11" s="1"/>
  <c r="K56" i="11"/>
  <c r="K57" i="11"/>
  <c r="K55" i="11"/>
  <c r="K39" i="11"/>
  <c r="K40" i="11"/>
  <c r="K41" i="11"/>
  <c r="K42" i="11"/>
  <c r="K43" i="11"/>
  <c r="K44" i="11"/>
  <c r="K46" i="11"/>
  <c r="K47" i="11"/>
  <c r="K48" i="11"/>
  <c r="K49" i="11"/>
  <c r="K50" i="11"/>
  <c r="K51" i="11"/>
  <c r="K38" i="11"/>
  <c r="K23" i="11"/>
  <c r="K25" i="11"/>
  <c r="K26" i="11"/>
  <c r="K27" i="11"/>
  <c r="K29" i="11"/>
  <c r="K31" i="11"/>
  <c r="K32" i="11"/>
  <c r="K33" i="11"/>
  <c r="K34" i="11"/>
  <c r="K35" i="11"/>
  <c r="K22" i="11"/>
  <c r="J25" i="11"/>
  <c r="J23" i="11"/>
  <c r="J22" i="11"/>
  <c r="J14" i="11"/>
  <c r="J12" i="11"/>
  <c r="J10" i="11"/>
  <c r="J9" i="11"/>
  <c r="K6" i="11"/>
  <c r="K8" i="11"/>
  <c r="K9" i="11"/>
  <c r="K10" i="11"/>
  <c r="K12" i="11"/>
  <c r="K14" i="11"/>
  <c r="J6" i="11"/>
  <c r="J8" i="11"/>
  <c r="I6" i="11"/>
  <c r="I8" i="11"/>
  <c r="I9" i="11"/>
  <c r="I10" i="11"/>
  <c r="I12" i="11"/>
  <c r="I14" i="11"/>
  <c r="K5" i="11"/>
  <c r="I5" i="11"/>
  <c r="U58" i="11"/>
  <c r="J58" i="11" s="1"/>
  <c r="V58" i="11"/>
  <c r="K58" i="11" s="1"/>
  <c r="U45" i="11"/>
  <c r="J45" i="11" s="1"/>
  <c r="V45" i="11"/>
  <c r="K45" i="11" s="1"/>
  <c r="U24" i="11"/>
  <c r="U28" i="11" s="1"/>
  <c r="J28" i="11" s="1"/>
  <c r="V24" i="11"/>
  <c r="K24" i="11" s="1"/>
  <c r="U7" i="11"/>
  <c r="U11" i="11" s="1"/>
  <c r="J11" i="11" s="1"/>
  <c r="T7" i="11"/>
  <c r="T11" i="11" s="1"/>
  <c r="I11" i="11" s="1"/>
  <c r="J26" i="11"/>
  <c r="J27" i="11"/>
  <c r="J29" i="11"/>
  <c r="J31" i="11"/>
  <c r="J32" i="11"/>
  <c r="J33" i="11"/>
  <c r="J34" i="11"/>
  <c r="J35" i="11"/>
  <c r="J38" i="11"/>
  <c r="J39" i="11"/>
  <c r="J40" i="11"/>
  <c r="J41" i="11"/>
  <c r="J42" i="11"/>
  <c r="J43" i="11"/>
  <c r="J44" i="11"/>
  <c r="J46" i="11"/>
  <c r="J47" i="11"/>
  <c r="J48" i="11"/>
  <c r="J49" i="11"/>
  <c r="J50" i="11"/>
  <c r="J51" i="11"/>
  <c r="J55" i="11"/>
  <c r="J56" i="11"/>
  <c r="J57" i="11"/>
  <c r="J5" i="11"/>
  <c r="AP18" i="6"/>
  <c r="AO18" i="6"/>
  <c r="D22" i="10"/>
  <c r="D23" i="10"/>
  <c r="D24" i="10"/>
  <c r="D21" i="10"/>
  <c r="AF46" i="6" l="1"/>
  <c r="AF19" i="6"/>
  <c r="AF58" i="6"/>
  <c r="AF53" i="6"/>
  <c r="AF14" i="6"/>
  <c r="AF7" i="6"/>
  <c r="AF72" i="6"/>
  <c r="AF75" i="6"/>
  <c r="AF32" i="6"/>
  <c r="AF12" i="6"/>
  <c r="AF47" i="6"/>
  <c r="AF40" i="6"/>
  <c r="AF15" i="6"/>
  <c r="AF73" i="6"/>
  <c r="AF18" i="6"/>
  <c r="AF31" i="6"/>
  <c r="AF44" i="6"/>
  <c r="AF9" i="6"/>
  <c r="AF59" i="6"/>
  <c r="AF42" i="6"/>
  <c r="AF22" i="6"/>
  <c r="AF64" i="6"/>
  <c r="AF20" i="6"/>
  <c r="AF69" i="6"/>
  <c r="AF67" i="6"/>
  <c r="AF29" i="6"/>
  <c r="AF65" i="6"/>
  <c r="AF54" i="6"/>
  <c r="AF71" i="6"/>
  <c r="X32" i="6"/>
  <c r="AF70" i="6"/>
  <c r="AF27" i="6"/>
  <c r="W32" i="6"/>
  <c r="AF50" i="6"/>
  <c r="AF66" i="6"/>
  <c r="AF49" i="6"/>
  <c r="AF48" i="6"/>
  <c r="AF28" i="6"/>
  <c r="AF68" i="6"/>
  <c r="AF56" i="6"/>
  <c r="AF51" i="6"/>
  <c r="AF38" i="6"/>
  <c r="AF11" i="6"/>
  <c r="AF39" i="6"/>
  <c r="AF45" i="6"/>
  <c r="AF17" i="6"/>
  <c r="AF76" i="6"/>
  <c r="AF6" i="6"/>
  <c r="AF25" i="6"/>
  <c r="AF37" i="6"/>
  <c r="AF33" i="6"/>
  <c r="AF13" i="6"/>
  <c r="AF24" i="6"/>
  <c r="AF10" i="6"/>
  <c r="AK18" i="6"/>
  <c r="AK65" i="6"/>
  <c r="AF30" i="6"/>
  <c r="AK60" i="6"/>
  <c r="AK7" i="6"/>
  <c r="AF35" i="6"/>
  <c r="AK45" i="6"/>
  <c r="AK5" i="6"/>
  <c r="AF41" i="6"/>
  <c r="AK77" i="6"/>
  <c r="AK37" i="6"/>
  <c r="AK12" i="6"/>
  <c r="AK78" i="6"/>
  <c r="E4" i="6"/>
  <c r="AK4" i="6"/>
  <c r="AF34" i="6"/>
  <c r="AF52" i="6"/>
  <c r="AK19" i="6"/>
  <c r="AF77" i="6"/>
  <c r="AK53" i="6"/>
  <c r="AF26" i="6"/>
  <c r="AK72" i="6"/>
  <c r="AF62" i="6"/>
  <c r="AF5" i="6"/>
  <c r="AK20" i="6"/>
  <c r="AF57" i="6"/>
  <c r="AK52" i="6"/>
  <c r="AF61" i="6"/>
  <c r="AK14" i="6"/>
  <c r="AK46" i="6"/>
  <c r="AK62" i="6"/>
  <c r="AF55" i="6"/>
  <c r="AF43" i="6"/>
  <c r="AF23" i="6"/>
  <c r="AF60" i="6"/>
  <c r="AF3" i="6"/>
  <c r="AF36" i="6"/>
  <c r="AF16" i="6"/>
  <c r="AK44" i="6"/>
  <c r="AF2" i="6"/>
  <c r="E3" i="6"/>
  <c r="AF63" i="6"/>
  <c r="AK75" i="6"/>
  <c r="L22" i="11"/>
  <c r="L42" i="11"/>
  <c r="L39" i="11"/>
  <c r="W39" i="11" s="1"/>
  <c r="L34" i="11"/>
  <c r="W34" i="11" s="1"/>
  <c r="L35" i="11"/>
  <c r="W35" i="11" s="1"/>
  <c r="L38" i="11"/>
  <c r="W38" i="11" s="1"/>
  <c r="L33" i="11"/>
  <c r="W33" i="11" s="1"/>
  <c r="L30" i="11"/>
  <c r="W30" i="11"/>
  <c r="F66" i="11" s="1"/>
  <c r="L32" i="11"/>
  <c r="W32" i="11" s="1"/>
  <c r="L31" i="11"/>
  <c r="W31" i="11" s="1"/>
  <c r="L29" i="11"/>
  <c r="W29" i="11" s="1"/>
  <c r="F68" i="11" s="1"/>
  <c r="L57" i="11"/>
  <c r="W57" i="11" s="1"/>
  <c r="L56" i="11"/>
  <c r="W56" i="11" s="1"/>
  <c r="L49" i="11"/>
  <c r="W49" i="11" s="1"/>
  <c r="L48" i="11"/>
  <c r="W48" i="11" s="1"/>
  <c r="L45" i="11"/>
  <c r="L46" i="11"/>
  <c r="W46" i="11" s="1"/>
  <c r="L44" i="11"/>
  <c r="W44" i="11" s="1"/>
  <c r="L41" i="11"/>
  <c r="W41" i="11" s="1"/>
  <c r="L55" i="11"/>
  <c r="W55" i="11" s="1"/>
  <c r="L51" i="11"/>
  <c r="W51" i="11" s="1"/>
  <c r="L50" i="11"/>
  <c r="W50" i="11" s="1"/>
  <c r="L47" i="11"/>
  <c r="W47" i="11" s="1"/>
  <c r="L27" i="11"/>
  <c r="W27" i="11" s="1"/>
  <c r="L43" i="11"/>
  <c r="W43" i="11" s="1"/>
  <c r="L26" i="11"/>
  <c r="W26" i="11" s="1"/>
  <c r="L25" i="11"/>
  <c r="W25" i="11" s="1"/>
  <c r="L23" i="11"/>
  <c r="W23" i="11" s="1"/>
  <c r="L40" i="11"/>
  <c r="W40" i="11" s="1"/>
  <c r="T52" i="11"/>
  <c r="I52" i="11" s="1"/>
  <c r="I58" i="11"/>
  <c r="L58" i="11" s="1"/>
  <c r="I28" i="11"/>
  <c r="D67" i="11"/>
  <c r="V11" i="11"/>
  <c r="V13" i="11" s="1"/>
  <c r="V15" i="11" s="1"/>
  <c r="X30" i="11"/>
  <c r="G66" i="11" s="1"/>
  <c r="D64" i="11"/>
  <c r="C64" i="11"/>
  <c r="W22" i="11"/>
  <c r="W42" i="11"/>
  <c r="V28" i="11"/>
  <c r="J24" i="11"/>
  <c r="L24" i="11" s="1"/>
  <c r="I7" i="11"/>
  <c r="J7" i="11"/>
  <c r="L12" i="11"/>
  <c r="W12" i="11" s="1"/>
  <c r="L9" i="11"/>
  <c r="W9" i="11" s="1"/>
  <c r="L8" i="11"/>
  <c r="W8" i="11" s="1"/>
  <c r="T13" i="11"/>
  <c r="I13" i="11" s="1"/>
  <c r="U13" i="11"/>
  <c r="J13" i="11" s="1"/>
  <c r="L6" i="11"/>
  <c r="W6" i="11" s="1"/>
  <c r="W7" i="11" s="1"/>
  <c r="U36" i="11"/>
  <c r="J36" i="11" s="1"/>
  <c r="V52" i="11"/>
  <c r="K52" i="11" s="1"/>
  <c r="U52" i="11"/>
  <c r="L10" i="11"/>
  <c r="W10" i="11" s="1"/>
  <c r="L14" i="11"/>
  <c r="W14" i="11" s="1"/>
  <c r="V36" i="11" l="1"/>
  <c r="K36" i="11" s="1"/>
  <c r="L36" i="11" s="1"/>
  <c r="E67" i="11"/>
  <c r="T59" i="11"/>
  <c r="I59" i="11" s="1"/>
  <c r="K11" i="11"/>
  <c r="L11" i="11" s="1"/>
  <c r="E64" i="11"/>
  <c r="W11" i="11"/>
  <c r="W24" i="11"/>
  <c r="W28" i="11" s="1"/>
  <c r="W45" i="11"/>
  <c r="W52" i="11" s="1"/>
  <c r="W58" i="11"/>
  <c r="X25" i="11"/>
  <c r="X31" i="11"/>
  <c r="X35" i="11"/>
  <c r="X41" i="11"/>
  <c r="X46" i="11"/>
  <c r="X50" i="11"/>
  <c r="X57" i="11"/>
  <c r="X10" i="11"/>
  <c r="X22" i="11"/>
  <c r="X26" i="11"/>
  <c r="X42" i="11"/>
  <c r="X51" i="11"/>
  <c r="X33" i="11"/>
  <c r="X48" i="11"/>
  <c r="X6" i="11"/>
  <c r="X7" i="11" s="1"/>
  <c r="Y30" i="11"/>
  <c r="H66" i="11" s="1"/>
  <c r="X38" i="11"/>
  <c r="X43" i="11"/>
  <c r="X8" i="11"/>
  <c r="X29" i="11"/>
  <c r="G68" i="11" s="1"/>
  <c r="X34" i="11"/>
  <c r="X40" i="11"/>
  <c r="X44" i="11"/>
  <c r="X49" i="11"/>
  <c r="X9" i="11"/>
  <c r="X23" i="11"/>
  <c r="X56" i="11"/>
  <c r="X32" i="11"/>
  <c r="X47" i="11"/>
  <c r="X12" i="11"/>
  <c r="X27" i="11"/>
  <c r="X39" i="11"/>
  <c r="X55" i="11"/>
  <c r="X14" i="11"/>
  <c r="K28" i="11"/>
  <c r="L28" i="11" s="1"/>
  <c r="L7" i="11"/>
  <c r="K13" i="11"/>
  <c r="J52" i="11"/>
  <c r="L52" i="11" s="1"/>
  <c r="U59" i="11"/>
  <c r="J59" i="11" s="1"/>
  <c r="V59" i="11"/>
  <c r="K59" i="11" s="1"/>
  <c r="U15" i="11"/>
  <c r="J15" i="11" s="1"/>
  <c r="T15" i="11"/>
  <c r="I15" i="11" s="1"/>
  <c r="W36" i="11" l="1"/>
  <c r="F67" i="11"/>
  <c r="L59" i="11"/>
  <c r="X24" i="11"/>
  <c r="X28" i="11" s="1"/>
  <c r="X11" i="11"/>
  <c r="X13" i="11" s="1"/>
  <c r="X15" i="11" s="1"/>
  <c r="X58" i="11"/>
  <c r="Z30" i="11"/>
  <c r="I66" i="11" s="1"/>
  <c r="Y38" i="11"/>
  <c r="Y33" i="11"/>
  <c r="Y48" i="11"/>
  <c r="Y14" i="11"/>
  <c r="Y25" i="11"/>
  <c r="Y31" i="11"/>
  <c r="Y35" i="11"/>
  <c r="Y41" i="11"/>
  <c r="Y46" i="11"/>
  <c r="Y50" i="11"/>
  <c r="Y57" i="11"/>
  <c r="Y10" i="11"/>
  <c r="Y22" i="11"/>
  <c r="Y26" i="11"/>
  <c r="Y42" i="11"/>
  <c r="Y51" i="11"/>
  <c r="Y43" i="11"/>
  <c r="Y8" i="11"/>
  <c r="Y34" i="11"/>
  <c r="Y44" i="11"/>
  <c r="Y56" i="11"/>
  <c r="Y27" i="11"/>
  <c r="Y29" i="11"/>
  <c r="H68" i="11" s="1"/>
  <c r="Y9" i="11"/>
  <c r="Y32" i="11"/>
  <c r="Y47" i="11"/>
  <c r="Y12" i="11"/>
  <c r="Y39" i="11"/>
  <c r="Y55" i="11"/>
  <c r="Y6" i="11"/>
  <c r="Y7" i="11" s="1"/>
  <c r="Y23" i="11"/>
  <c r="Y40" i="11"/>
  <c r="Y49" i="11"/>
  <c r="W59" i="11"/>
  <c r="X45" i="11"/>
  <c r="X52" i="11" s="1"/>
  <c r="W13" i="11"/>
  <c r="W15" i="11" s="1"/>
  <c r="F64" i="11"/>
  <c r="L13" i="11"/>
  <c r="K15" i="11"/>
  <c r="X36" i="11" l="1"/>
  <c r="G67" i="11"/>
  <c r="Y11" i="11"/>
  <c r="X59" i="11"/>
  <c r="G64" i="11"/>
  <c r="Y24" i="11"/>
  <c r="Y28" i="11" s="1"/>
  <c r="Y58" i="11"/>
  <c r="Y45" i="11"/>
  <c r="Y52" i="11" s="1"/>
  <c r="Z22" i="11"/>
  <c r="Z26" i="11"/>
  <c r="Z33" i="11"/>
  <c r="Z43" i="11"/>
  <c r="Z55" i="11"/>
  <c r="Z29" i="11"/>
  <c r="I68" i="11" s="1"/>
  <c r="Z40" i="11"/>
  <c r="Z44" i="11"/>
  <c r="Z32" i="11"/>
  <c r="Z51" i="11"/>
  <c r="Z39" i="11"/>
  <c r="Z14" i="11"/>
  <c r="Z6" i="11"/>
  <c r="Z7" i="11" s="1"/>
  <c r="Z34" i="11"/>
  <c r="Z56" i="11"/>
  <c r="AA30" i="11"/>
  <c r="J66" i="11" s="1"/>
  <c r="Z25" i="11"/>
  <c r="Z31" i="11"/>
  <c r="Z35" i="11"/>
  <c r="Z41" i="11"/>
  <c r="Z46" i="11"/>
  <c r="Z50" i="11"/>
  <c r="Z57" i="11"/>
  <c r="Z10" i="11"/>
  <c r="Z27" i="11"/>
  <c r="Z8" i="11"/>
  <c r="Z23" i="11"/>
  <c r="Z9" i="11"/>
  <c r="Z38" i="11"/>
  <c r="Z42" i="11"/>
  <c r="Z47" i="11"/>
  <c r="Z12" i="11"/>
  <c r="Z48" i="11"/>
  <c r="Z49" i="11"/>
  <c r="L15" i="11"/>
  <c r="Y36" i="11" l="1"/>
  <c r="H67" i="11"/>
  <c r="Y13" i="11"/>
  <c r="Y15" i="11" s="1"/>
  <c r="H64" i="11"/>
  <c r="Y59" i="11"/>
  <c r="Z11" i="11"/>
  <c r="AA22" i="11"/>
  <c r="AA26" i="11"/>
  <c r="AA42" i="11"/>
  <c r="AA47" i="11"/>
  <c r="AA33" i="11"/>
  <c r="AA43" i="11"/>
  <c r="AA8" i="11"/>
  <c r="AA6" i="11"/>
  <c r="AA7" i="11" s="1"/>
  <c r="AA34" i="11"/>
  <c r="AA44" i="11"/>
  <c r="AA49" i="11"/>
  <c r="AA56" i="11"/>
  <c r="AA32" i="11"/>
  <c r="AA39" i="11"/>
  <c r="AA55" i="11"/>
  <c r="AA23" i="11"/>
  <c r="AA27" i="11"/>
  <c r="AA14" i="11"/>
  <c r="AA29" i="11"/>
  <c r="J68" i="11" s="1"/>
  <c r="AA25" i="11"/>
  <c r="AA31" i="11"/>
  <c r="AA35" i="11"/>
  <c r="AA41" i="11"/>
  <c r="AA46" i="11"/>
  <c r="AA50" i="11"/>
  <c r="AA57" i="11"/>
  <c r="AA10" i="11"/>
  <c r="AA38" i="11"/>
  <c r="AA51" i="11"/>
  <c r="AA12" i="11"/>
  <c r="AA48" i="11"/>
  <c r="AA40" i="11"/>
  <c r="AA9" i="11"/>
  <c r="Z58" i="11"/>
  <c r="Z45" i="11"/>
  <c r="Z52" i="11" s="1"/>
  <c r="Z24" i="11"/>
  <c r="Z28" i="11" s="1"/>
  <c r="Z13" i="11" l="1"/>
  <c r="Z15" i="11" s="1"/>
  <c r="I64" i="11"/>
  <c r="Z36" i="11"/>
  <c r="I67" i="11"/>
  <c r="Z59" i="11"/>
  <c r="AA58" i="11"/>
  <c r="AA11" i="11"/>
  <c r="AA45" i="11"/>
  <c r="AA52" i="11" s="1"/>
  <c r="AA24" i="11"/>
  <c r="AA28" i="11" s="1"/>
  <c r="AA59" i="11" l="1"/>
  <c r="AA36" i="11"/>
  <c r="J67" i="11"/>
  <c r="AA13" i="11"/>
  <c r="AA15" i="11" s="1"/>
  <c r="J64" i="11"/>
  <c r="AL80" i="6" l="1"/>
  <c r="AK80" i="6"/>
  <c r="D80" i="6"/>
  <c r="C80" i="6"/>
  <c r="AL79" i="6"/>
  <c r="G79" i="6"/>
  <c r="AK79" i="6"/>
  <c r="D79" i="6"/>
  <c r="C79" i="6"/>
  <c r="M78" i="6"/>
  <c r="K78" i="6"/>
  <c r="I78" i="6"/>
  <c r="AG78" i="6" s="1"/>
  <c r="G78" i="6"/>
  <c r="D78" i="6"/>
  <c r="C78" i="6"/>
  <c r="M77" i="6"/>
  <c r="K77" i="6"/>
  <c r="I77" i="6"/>
  <c r="H77" i="6"/>
  <c r="G77" i="6"/>
  <c r="D77" i="6"/>
  <c r="C77" i="6"/>
  <c r="M76" i="6"/>
  <c r="K76" i="6"/>
  <c r="I76" i="6"/>
  <c r="H76" i="6"/>
  <c r="G76" i="6"/>
  <c r="D76" i="6"/>
  <c r="C76" i="6"/>
  <c r="M75" i="6"/>
  <c r="K75" i="6"/>
  <c r="I75" i="6"/>
  <c r="H75" i="6"/>
  <c r="G75" i="6"/>
  <c r="D75" i="6"/>
  <c r="C75" i="6"/>
  <c r="M74" i="6"/>
  <c r="K74" i="6"/>
  <c r="I74" i="6"/>
  <c r="H74" i="6"/>
  <c r="G74" i="6"/>
  <c r="D74" i="6"/>
  <c r="C74" i="6"/>
  <c r="M73" i="6"/>
  <c r="K73" i="6"/>
  <c r="I73" i="6"/>
  <c r="H73" i="6"/>
  <c r="G73" i="6"/>
  <c r="D73" i="6"/>
  <c r="C73" i="6"/>
  <c r="M72" i="6"/>
  <c r="K72" i="6"/>
  <c r="I72" i="6"/>
  <c r="H72" i="6"/>
  <c r="G72" i="6"/>
  <c r="D72" i="6"/>
  <c r="C72" i="6"/>
  <c r="M71" i="6"/>
  <c r="K71" i="6"/>
  <c r="I71" i="6"/>
  <c r="AG71" i="6" s="1"/>
  <c r="H71" i="6"/>
  <c r="G71" i="6"/>
  <c r="D71" i="6"/>
  <c r="C71" i="6"/>
  <c r="M70" i="6"/>
  <c r="K70" i="6"/>
  <c r="I70" i="6"/>
  <c r="AG70" i="6" s="1"/>
  <c r="H70" i="6"/>
  <c r="G70" i="6"/>
  <c r="D70" i="6"/>
  <c r="C70" i="6"/>
  <c r="M69" i="6"/>
  <c r="K69" i="6"/>
  <c r="I69" i="6"/>
  <c r="AG69" i="6" s="1"/>
  <c r="H69" i="6"/>
  <c r="G69" i="6"/>
  <c r="D69" i="6"/>
  <c r="C69" i="6"/>
  <c r="M68" i="6"/>
  <c r="K68" i="6"/>
  <c r="I68" i="6"/>
  <c r="H68" i="6"/>
  <c r="G68" i="6"/>
  <c r="D68" i="6"/>
  <c r="C68" i="6"/>
  <c r="M67" i="6"/>
  <c r="K67" i="6"/>
  <c r="I67" i="6"/>
  <c r="H67" i="6"/>
  <c r="G67" i="6"/>
  <c r="C67" i="6"/>
  <c r="M66" i="6"/>
  <c r="K66" i="6"/>
  <c r="I66" i="6"/>
  <c r="H66" i="6"/>
  <c r="G66" i="6"/>
  <c r="C66" i="6"/>
  <c r="M65" i="6"/>
  <c r="K65" i="6"/>
  <c r="I65" i="6"/>
  <c r="H65" i="6"/>
  <c r="G65" i="6"/>
  <c r="C65" i="6"/>
  <c r="M64" i="6"/>
  <c r="K64" i="6"/>
  <c r="I64" i="6"/>
  <c r="H64" i="6"/>
  <c r="G64" i="6"/>
  <c r="D64" i="6"/>
  <c r="C64" i="6"/>
  <c r="M63" i="6"/>
  <c r="K63" i="6"/>
  <c r="I63" i="6"/>
  <c r="H63" i="6"/>
  <c r="G63" i="6"/>
  <c r="D63" i="6"/>
  <c r="C63" i="6"/>
  <c r="M62" i="6"/>
  <c r="K62" i="6"/>
  <c r="I62" i="6"/>
  <c r="H62" i="6"/>
  <c r="G62" i="6"/>
  <c r="D62" i="6"/>
  <c r="C62" i="6"/>
  <c r="M61" i="6"/>
  <c r="K61" i="6"/>
  <c r="I61" i="6"/>
  <c r="AG61" i="6" s="1"/>
  <c r="H61" i="6"/>
  <c r="G61" i="6"/>
  <c r="D61" i="6"/>
  <c r="C61" i="6"/>
  <c r="M60" i="6"/>
  <c r="K60" i="6"/>
  <c r="I60" i="6"/>
  <c r="AG60" i="6" s="1"/>
  <c r="H60" i="6"/>
  <c r="G60" i="6"/>
  <c r="D60" i="6"/>
  <c r="C60" i="6"/>
  <c r="M59" i="6"/>
  <c r="K59" i="6"/>
  <c r="I59" i="6"/>
  <c r="AG59" i="6" s="1"/>
  <c r="H59" i="6"/>
  <c r="G59" i="6"/>
  <c r="D59" i="6"/>
  <c r="C59" i="6"/>
  <c r="M58" i="6"/>
  <c r="K58" i="6"/>
  <c r="I58" i="6"/>
  <c r="AG58" i="6" s="1"/>
  <c r="H58" i="6"/>
  <c r="G58" i="6"/>
  <c r="D58" i="6"/>
  <c r="C58" i="6"/>
  <c r="M57" i="6"/>
  <c r="K57" i="6"/>
  <c r="I57" i="6"/>
  <c r="AG57" i="6" s="1"/>
  <c r="H57" i="6"/>
  <c r="G57" i="6"/>
  <c r="D57" i="6"/>
  <c r="C57" i="6"/>
  <c r="M56" i="6"/>
  <c r="K56" i="6"/>
  <c r="I56" i="6"/>
  <c r="H56" i="6"/>
  <c r="G56" i="6"/>
  <c r="M55" i="6"/>
  <c r="K55" i="6"/>
  <c r="I55" i="6"/>
  <c r="H55" i="6"/>
  <c r="M54" i="6"/>
  <c r="K54" i="6"/>
  <c r="I54" i="6"/>
  <c r="M53" i="6"/>
  <c r="K53" i="6"/>
  <c r="I53" i="6"/>
  <c r="H53" i="6"/>
  <c r="G53" i="6"/>
  <c r="D53" i="6"/>
  <c r="C53" i="6"/>
  <c r="M52" i="6"/>
  <c r="K52" i="6"/>
  <c r="I52" i="6"/>
  <c r="H52" i="6"/>
  <c r="G52" i="6"/>
  <c r="D52" i="6"/>
  <c r="C52" i="6"/>
  <c r="M51" i="6"/>
  <c r="K51" i="6"/>
  <c r="I51" i="6"/>
  <c r="H51" i="6"/>
  <c r="G51" i="6"/>
  <c r="D51" i="6"/>
  <c r="C51" i="6"/>
  <c r="M50" i="6"/>
  <c r="K50" i="6"/>
  <c r="I50" i="6"/>
  <c r="H50" i="6"/>
  <c r="G50" i="6"/>
  <c r="D50" i="6"/>
  <c r="C50" i="6"/>
  <c r="M49" i="6"/>
  <c r="K49" i="6"/>
  <c r="I49" i="6"/>
  <c r="H49" i="6"/>
  <c r="G49" i="6"/>
  <c r="D49" i="6"/>
  <c r="C49" i="6"/>
  <c r="M48" i="6"/>
  <c r="K48" i="6"/>
  <c r="I48" i="6"/>
  <c r="H48" i="6"/>
  <c r="G48" i="6"/>
  <c r="D48" i="6"/>
  <c r="C48" i="6"/>
  <c r="M47" i="6"/>
  <c r="K47" i="6"/>
  <c r="I47" i="6"/>
  <c r="H47" i="6"/>
  <c r="G47" i="6"/>
  <c r="D47" i="6"/>
  <c r="C47" i="6"/>
  <c r="M46" i="6"/>
  <c r="K46" i="6"/>
  <c r="I46" i="6"/>
  <c r="H46" i="6"/>
  <c r="G46" i="6"/>
  <c r="D46" i="6"/>
  <c r="C46" i="6"/>
  <c r="M45" i="6"/>
  <c r="K45" i="6"/>
  <c r="I45" i="6"/>
  <c r="H45" i="6"/>
  <c r="G45" i="6"/>
  <c r="D45" i="6"/>
  <c r="C45" i="6"/>
  <c r="M44" i="6"/>
  <c r="K44" i="6"/>
  <c r="I44" i="6"/>
  <c r="H44" i="6"/>
  <c r="G44" i="6"/>
  <c r="D44" i="6"/>
  <c r="C44" i="6"/>
  <c r="M43" i="6"/>
  <c r="K43" i="6"/>
  <c r="I43" i="6"/>
  <c r="H43" i="6"/>
  <c r="G43" i="6"/>
  <c r="D43" i="6"/>
  <c r="C43" i="6"/>
  <c r="M42" i="6"/>
  <c r="K42" i="6"/>
  <c r="I42" i="6"/>
  <c r="H42" i="6"/>
  <c r="G42" i="6"/>
  <c r="D42" i="6"/>
  <c r="C42" i="6"/>
  <c r="M41" i="6"/>
  <c r="K41" i="6"/>
  <c r="I41" i="6"/>
  <c r="AG41" i="6" s="1"/>
  <c r="H41" i="6"/>
  <c r="G41" i="6"/>
  <c r="D41" i="6"/>
  <c r="C41" i="6"/>
  <c r="M40" i="6"/>
  <c r="K40" i="6"/>
  <c r="I40" i="6"/>
  <c r="AG40" i="6" s="1"/>
  <c r="H40" i="6"/>
  <c r="G40" i="6"/>
  <c r="D40" i="6"/>
  <c r="C40" i="6"/>
  <c r="M39" i="6"/>
  <c r="K39" i="6"/>
  <c r="I39" i="6"/>
  <c r="AG39" i="6" s="1"/>
  <c r="H39" i="6"/>
  <c r="G39" i="6"/>
  <c r="D39" i="6"/>
  <c r="C39" i="6"/>
  <c r="M38" i="6"/>
  <c r="K38" i="6"/>
  <c r="R38" i="6"/>
  <c r="I38" i="6"/>
  <c r="AG38" i="6" s="1"/>
  <c r="H38" i="6"/>
  <c r="G38" i="6"/>
  <c r="D38" i="6"/>
  <c r="C38" i="6"/>
  <c r="M37" i="6"/>
  <c r="K37" i="6"/>
  <c r="R37" i="6"/>
  <c r="I37" i="6"/>
  <c r="AG37" i="6" s="1"/>
  <c r="H37" i="6"/>
  <c r="G37" i="6"/>
  <c r="D37" i="6"/>
  <c r="C37" i="6"/>
  <c r="M36" i="6"/>
  <c r="K36" i="6"/>
  <c r="Q36" i="6"/>
  <c r="I36" i="6"/>
  <c r="H36" i="6"/>
  <c r="G36" i="6"/>
  <c r="D36" i="6"/>
  <c r="C36" i="6"/>
  <c r="M35" i="6"/>
  <c r="K35" i="6"/>
  <c r="R35" i="6"/>
  <c r="I35" i="6"/>
  <c r="AG35" i="6" s="1"/>
  <c r="H35" i="6"/>
  <c r="G35" i="6"/>
  <c r="D35" i="6"/>
  <c r="C35" i="6"/>
  <c r="K34" i="6"/>
  <c r="R34" i="6"/>
  <c r="H34" i="6"/>
  <c r="G34" i="6"/>
  <c r="D34" i="6"/>
  <c r="C34" i="6"/>
  <c r="M33" i="6"/>
  <c r="K33" i="6"/>
  <c r="R33" i="6"/>
  <c r="H33" i="6"/>
  <c r="G33" i="6"/>
  <c r="C33" i="6"/>
  <c r="M32" i="6"/>
  <c r="AN32" i="6"/>
  <c r="H32" i="6"/>
  <c r="G32" i="6"/>
  <c r="D32" i="6"/>
  <c r="V32" i="6" s="1"/>
  <c r="M31" i="6"/>
  <c r="K31" i="6"/>
  <c r="R31" i="6"/>
  <c r="H31" i="6"/>
  <c r="G31" i="6"/>
  <c r="D31" i="6"/>
  <c r="V31" i="6" s="1"/>
  <c r="M30" i="6"/>
  <c r="K30" i="6"/>
  <c r="R30" i="6"/>
  <c r="H30" i="6"/>
  <c r="G30" i="6"/>
  <c r="D30" i="6"/>
  <c r="V30" i="6" s="1"/>
  <c r="M29" i="6"/>
  <c r="K29" i="6"/>
  <c r="R29" i="6"/>
  <c r="I29" i="6"/>
  <c r="AG29" i="6" s="1"/>
  <c r="H29" i="6"/>
  <c r="G29" i="6"/>
  <c r="D29" i="6"/>
  <c r="C29" i="6"/>
  <c r="M28" i="6"/>
  <c r="K28" i="6"/>
  <c r="R28" i="6"/>
  <c r="I28" i="6"/>
  <c r="AG28" i="6" s="1"/>
  <c r="H28" i="6"/>
  <c r="G28" i="6"/>
  <c r="D28" i="6"/>
  <c r="C28" i="6"/>
  <c r="M27" i="6"/>
  <c r="K27" i="6"/>
  <c r="R27" i="6"/>
  <c r="I27" i="6"/>
  <c r="AG27" i="6" s="1"/>
  <c r="H27" i="6"/>
  <c r="G27" i="6"/>
  <c r="D27" i="6"/>
  <c r="C27" i="6"/>
  <c r="M26" i="6"/>
  <c r="K26" i="6"/>
  <c r="R26" i="6"/>
  <c r="I26" i="6"/>
  <c r="AG26" i="6" s="1"/>
  <c r="H26" i="6"/>
  <c r="G26" i="6"/>
  <c r="D26" i="6"/>
  <c r="C26" i="6"/>
  <c r="M25" i="6"/>
  <c r="K25" i="6"/>
  <c r="R25" i="6"/>
  <c r="I25" i="6"/>
  <c r="AG25" i="6" s="1"/>
  <c r="H25" i="6"/>
  <c r="G25" i="6"/>
  <c r="D25" i="6"/>
  <c r="C25" i="6"/>
  <c r="M24" i="6"/>
  <c r="K24" i="6"/>
  <c r="R24" i="6"/>
  <c r="I24" i="6"/>
  <c r="AG24" i="6" s="1"/>
  <c r="H24" i="6"/>
  <c r="G24" i="6"/>
  <c r="D24" i="6"/>
  <c r="C24" i="6"/>
  <c r="M23" i="6"/>
  <c r="K23" i="6"/>
  <c r="R23" i="6"/>
  <c r="I23" i="6"/>
  <c r="AG23" i="6" s="1"/>
  <c r="H23" i="6"/>
  <c r="G23" i="6"/>
  <c r="D23" i="6"/>
  <c r="C23" i="6"/>
  <c r="M22" i="6"/>
  <c r="K22" i="6"/>
  <c r="R22" i="6"/>
  <c r="I22" i="6"/>
  <c r="AG22" i="6" s="1"/>
  <c r="B3" i="10" s="1"/>
  <c r="C3" i="10" s="1"/>
  <c r="H22" i="6"/>
  <c r="G22" i="6"/>
  <c r="D22" i="6"/>
  <c r="C22" i="6"/>
  <c r="M21" i="6"/>
  <c r="K21" i="6"/>
  <c r="I21" i="6"/>
  <c r="AG21" i="6" s="1"/>
  <c r="H21" i="6"/>
  <c r="G21" i="6"/>
  <c r="D21" i="6"/>
  <c r="C21" i="6"/>
  <c r="M20" i="6"/>
  <c r="K20" i="6"/>
  <c r="I20" i="6"/>
  <c r="AG20" i="6" s="1"/>
  <c r="H20" i="6"/>
  <c r="G20" i="6"/>
  <c r="D20" i="6"/>
  <c r="C20" i="6"/>
  <c r="M19" i="6"/>
  <c r="K19" i="6"/>
  <c r="I19" i="6"/>
  <c r="AG19" i="6" s="1"/>
  <c r="H19" i="6"/>
  <c r="G19" i="6"/>
  <c r="D19" i="6"/>
  <c r="C19" i="6"/>
  <c r="M18" i="6"/>
  <c r="K18" i="6"/>
  <c r="I18" i="6"/>
  <c r="AG18" i="6" s="1"/>
  <c r="H18" i="6"/>
  <c r="G18" i="6"/>
  <c r="D18" i="6"/>
  <c r="V18" i="6" s="1"/>
  <c r="M17" i="6"/>
  <c r="K17" i="6"/>
  <c r="I17" i="6"/>
  <c r="AG17" i="6" s="1"/>
  <c r="H17" i="6"/>
  <c r="G17" i="6"/>
  <c r="D17" i="6"/>
  <c r="C17" i="6"/>
  <c r="M16" i="6"/>
  <c r="K16" i="6"/>
  <c r="I16" i="6"/>
  <c r="AG16" i="6" s="1"/>
  <c r="H16" i="6"/>
  <c r="G16" i="6"/>
  <c r="D16" i="6"/>
  <c r="C16" i="6"/>
  <c r="M15" i="6"/>
  <c r="K15" i="6"/>
  <c r="I15" i="6"/>
  <c r="AG15" i="6" s="1"/>
  <c r="H15" i="6"/>
  <c r="G15" i="6"/>
  <c r="D15" i="6"/>
  <c r="C15" i="6"/>
  <c r="M14" i="6"/>
  <c r="K14" i="6"/>
  <c r="I14" i="6"/>
  <c r="AG14" i="6" s="1"/>
  <c r="H14" i="6"/>
  <c r="G14" i="6"/>
  <c r="D14" i="6"/>
  <c r="C14" i="6"/>
  <c r="M13" i="6"/>
  <c r="K13" i="6"/>
  <c r="I13" i="6"/>
  <c r="AG13" i="6" s="1"/>
  <c r="H13" i="6"/>
  <c r="G13" i="6"/>
  <c r="D13" i="6"/>
  <c r="C13" i="6"/>
  <c r="M12" i="6"/>
  <c r="K12" i="6"/>
  <c r="I12" i="6"/>
  <c r="AG12" i="6" s="1"/>
  <c r="H12" i="6"/>
  <c r="G12" i="6"/>
  <c r="D12" i="6"/>
  <c r="C12" i="6"/>
  <c r="M11" i="6"/>
  <c r="K11" i="6"/>
  <c r="I11" i="6"/>
  <c r="AG11" i="6" s="1"/>
  <c r="H11" i="6"/>
  <c r="G11" i="6"/>
  <c r="D11" i="6"/>
  <c r="C11" i="6"/>
  <c r="M10" i="6"/>
  <c r="K10" i="6"/>
  <c r="I10" i="6"/>
  <c r="AG10" i="6" s="1"/>
  <c r="H10" i="6"/>
  <c r="G10" i="6"/>
  <c r="D10" i="6"/>
  <c r="C10" i="6"/>
  <c r="M9" i="6"/>
  <c r="K9" i="6"/>
  <c r="I9" i="6"/>
  <c r="AG9" i="6" s="1"/>
  <c r="H9" i="6"/>
  <c r="G9" i="6"/>
  <c r="D9" i="6"/>
  <c r="C9" i="6"/>
  <c r="M8" i="6"/>
  <c r="K8" i="6"/>
  <c r="I8" i="6"/>
  <c r="AG8" i="6" s="1"/>
  <c r="H8" i="6"/>
  <c r="G8" i="6"/>
  <c r="D8" i="6"/>
  <c r="C8" i="6"/>
  <c r="M7" i="6"/>
  <c r="K7" i="6"/>
  <c r="I7" i="6"/>
  <c r="AG7" i="6" s="1"/>
  <c r="H7" i="6"/>
  <c r="G7" i="6"/>
  <c r="D7" i="6"/>
  <c r="C7" i="6"/>
  <c r="M6" i="6"/>
  <c r="K6" i="6"/>
  <c r="I6" i="6"/>
  <c r="AG6" i="6" s="1"/>
  <c r="H6" i="6"/>
  <c r="G6" i="6"/>
  <c r="D6" i="6"/>
  <c r="C6" i="6"/>
  <c r="M5" i="6"/>
  <c r="K5" i="6"/>
  <c r="I5" i="6"/>
  <c r="AG5" i="6" s="1"/>
  <c r="H5" i="6"/>
  <c r="G5" i="6"/>
  <c r="D5" i="6"/>
  <c r="C5" i="6"/>
  <c r="M4" i="6"/>
  <c r="K4" i="6"/>
  <c r="I4" i="6"/>
  <c r="AG4" i="6" s="1"/>
  <c r="H4" i="6"/>
  <c r="G4" i="6"/>
  <c r="D4" i="6"/>
  <c r="C4" i="6"/>
  <c r="M3" i="6"/>
  <c r="AH3" i="6" s="1"/>
  <c r="K3" i="6"/>
  <c r="I3" i="6"/>
  <c r="AG3" i="6" s="1"/>
  <c r="H3" i="6"/>
  <c r="G3" i="6"/>
  <c r="AK3" i="6"/>
  <c r="D3" i="6"/>
  <c r="C3" i="6"/>
  <c r="M2" i="6"/>
  <c r="K2" i="6"/>
  <c r="J21" i="10"/>
  <c r="I2" i="6"/>
  <c r="AG2" i="6" s="1"/>
  <c r="B2" i="10" s="1"/>
  <c r="H2" i="6"/>
  <c r="AD2" i="6" s="1"/>
  <c r="G2" i="6"/>
  <c r="D2" i="6"/>
  <c r="C2" i="6"/>
  <c r="X2" i="6" s="1"/>
  <c r="Z2" i="6" l="1"/>
  <c r="V17" i="6"/>
  <c r="V5" i="6"/>
  <c r="V44" i="6"/>
  <c r="V49" i="6"/>
  <c r="V54" i="6"/>
  <c r="V75" i="6"/>
  <c r="V20" i="6"/>
  <c r="V42" i="6"/>
  <c r="V47" i="6"/>
  <c r="V52" i="6"/>
  <c r="V57" i="6"/>
  <c r="V73" i="6"/>
  <c r="V78" i="6"/>
  <c r="AL5" i="6"/>
  <c r="AJ5" i="6"/>
  <c r="AH27" i="6"/>
  <c r="AI27" i="6"/>
  <c r="AJ8" i="6"/>
  <c r="AL8" i="6"/>
  <c r="AA14" i="6"/>
  <c r="AB14" i="6"/>
  <c r="AD14" i="6"/>
  <c r="Y20" i="6"/>
  <c r="Z20" i="6"/>
  <c r="AC20" i="6" s="1"/>
  <c r="W28" i="6"/>
  <c r="U28" i="6"/>
  <c r="X28" i="6"/>
  <c r="AN44" i="6"/>
  <c r="AL44" i="6"/>
  <c r="AN49" i="6"/>
  <c r="AL49" i="6"/>
  <c r="Z52" i="6"/>
  <c r="AC52" i="6" s="1"/>
  <c r="Y52" i="6"/>
  <c r="Z57" i="6"/>
  <c r="AC57" i="6" s="1"/>
  <c r="Y57" i="6"/>
  <c r="Y73" i="6"/>
  <c r="Z73" i="6"/>
  <c r="AC73" i="6" s="1"/>
  <c r="AL11" i="6"/>
  <c r="AJ11" i="6"/>
  <c r="Z60" i="6"/>
  <c r="AC60" i="6" s="1"/>
  <c r="Y60" i="6"/>
  <c r="W68" i="6"/>
  <c r="X68" i="6"/>
  <c r="AA78" i="6"/>
  <c r="AB78" i="6"/>
  <c r="AD78" i="6"/>
  <c r="V6" i="6"/>
  <c r="AI11" i="6"/>
  <c r="AH11" i="6"/>
  <c r="AN25" i="6"/>
  <c r="AL25" i="6"/>
  <c r="AJ25" i="6"/>
  <c r="AD34" i="6"/>
  <c r="AB34" i="6"/>
  <c r="AA34" i="6"/>
  <c r="AA60" i="6"/>
  <c r="AB60" i="6"/>
  <c r="AD60" i="6"/>
  <c r="V9" i="6"/>
  <c r="AB23" i="6"/>
  <c r="AD23" i="6"/>
  <c r="AA23" i="6"/>
  <c r="AH39" i="6"/>
  <c r="AI39" i="6"/>
  <c r="V45" i="6"/>
  <c r="V50" i="6"/>
  <c r="R52" i="6"/>
  <c r="AJ52" i="6"/>
  <c r="AH52" i="6"/>
  <c r="AG52" i="6"/>
  <c r="AI52" i="6"/>
  <c r="AN57" i="6"/>
  <c r="AL57" i="6"/>
  <c r="AJ57" i="6"/>
  <c r="Y63" i="6"/>
  <c r="Z63" i="6"/>
  <c r="AC63" i="6" s="1"/>
  <c r="AN65" i="6"/>
  <c r="AL65" i="6"/>
  <c r="Z68" i="6"/>
  <c r="AC68" i="6" s="1"/>
  <c r="Y68" i="6"/>
  <c r="W71" i="6"/>
  <c r="X71" i="6"/>
  <c r="AN78" i="6"/>
  <c r="AL78" i="6"/>
  <c r="AJ78" i="6"/>
  <c r="AA6" i="6"/>
  <c r="AB6" i="6"/>
  <c r="AD6" i="6"/>
  <c r="V12" i="6"/>
  <c r="X15" i="6"/>
  <c r="W15" i="6"/>
  <c r="AI17" i="6"/>
  <c r="AH17" i="6"/>
  <c r="AI20" i="6"/>
  <c r="AH20" i="6"/>
  <c r="W26" i="6"/>
  <c r="U26" i="6"/>
  <c r="X26" i="6"/>
  <c r="AB31" i="6"/>
  <c r="AD31" i="6"/>
  <c r="AA31" i="6"/>
  <c r="AD37" i="6"/>
  <c r="AA37" i="6"/>
  <c r="AB37" i="6"/>
  <c r="U40" i="6"/>
  <c r="W40" i="6"/>
  <c r="X40" i="6"/>
  <c r="AN42" i="6"/>
  <c r="AL42" i="6"/>
  <c r="Y50" i="6"/>
  <c r="Z50" i="6"/>
  <c r="AC50" i="6" s="1"/>
  <c r="Z55" i="6"/>
  <c r="AC55" i="6" s="1"/>
  <c r="Y55" i="6"/>
  <c r="AN60" i="6"/>
  <c r="AJ60" i="6"/>
  <c r="AL60" i="6"/>
  <c r="AA68" i="6"/>
  <c r="AB68" i="6"/>
  <c r="AD68" i="6"/>
  <c r="Z76" i="6"/>
  <c r="AC76" i="6" s="1"/>
  <c r="Y76" i="6"/>
  <c r="AA9" i="6"/>
  <c r="AD9" i="6"/>
  <c r="AB9" i="6"/>
  <c r="V26" i="6"/>
  <c r="V40" i="6"/>
  <c r="AB45" i="6"/>
  <c r="AA45" i="6"/>
  <c r="AD45" i="6"/>
  <c r="AB55" i="6"/>
  <c r="AA55" i="6"/>
  <c r="AD55" i="6"/>
  <c r="W66" i="6"/>
  <c r="X66" i="6"/>
  <c r="AA76" i="6"/>
  <c r="AB76" i="6"/>
  <c r="AD76" i="6"/>
  <c r="AA12" i="6"/>
  <c r="AD12" i="6"/>
  <c r="AB12" i="6"/>
  <c r="AN23" i="6"/>
  <c r="AJ23" i="6"/>
  <c r="AL23" i="6"/>
  <c r="AN31" i="6"/>
  <c r="AJ31" i="6"/>
  <c r="AL31" i="6"/>
  <c r="V58" i="6"/>
  <c r="AH23" i="6"/>
  <c r="AI23" i="6"/>
  <c r="AN37" i="6"/>
  <c r="AJ37" i="6"/>
  <c r="AL37" i="6"/>
  <c r="R45" i="6"/>
  <c r="AG45" i="6"/>
  <c r="AI45" i="6"/>
  <c r="AJ45" i="6"/>
  <c r="AH45" i="6"/>
  <c r="V53" i="6"/>
  <c r="Z58" i="6"/>
  <c r="AC58" i="6" s="1"/>
  <c r="Y58" i="6"/>
  <c r="Z66" i="6"/>
  <c r="AC66" i="6" s="1"/>
  <c r="Y66" i="6"/>
  <c r="AN68" i="6"/>
  <c r="AL68" i="6"/>
  <c r="R76" i="6"/>
  <c r="AH76" i="6"/>
  <c r="AJ76" i="6"/>
  <c r="AG76" i="6"/>
  <c r="AI76" i="6"/>
  <c r="V4" i="6"/>
  <c r="AH9" i="6"/>
  <c r="AI9" i="6"/>
  <c r="U24" i="6"/>
  <c r="W24" i="6"/>
  <c r="X24" i="6"/>
  <c r="AB35" i="6"/>
  <c r="AA35" i="6"/>
  <c r="AD35" i="6"/>
  <c r="AI37" i="6"/>
  <c r="AH37" i="6"/>
  <c r="Z43" i="6"/>
  <c r="AC43" i="6" s="1"/>
  <c r="Y43" i="6"/>
  <c r="Z48" i="6"/>
  <c r="AC48" i="6" s="1"/>
  <c r="Y48" i="6"/>
  <c r="AN50" i="6"/>
  <c r="AL50" i="6"/>
  <c r="Y53" i="6"/>
  <c r="Z53" i="6"/>
  <c r="AC53" i="6" s="1"/>
  <c r="AN55" i="6"/>
  <c r="AL55" i="6"/>
  <c r="AB58" i="6"/>
  <c r="AA58" i="6"/>
  <c r="AD58" i="6"/>
  <c r="Y61" i="6"/>
  <c r="Z61" i="6"/>
  <c r="AC61" i="6" s="1"/>
  <c r="AA66" i="6"/>
  <c r="AD66" i="6"/>
  <c r="AB66" i="6"/>
  <c r="AN71" i="6"/>
  <c r="AJ71" i="6"/>
  <c r="AL71" i="6"/>
  <c r="Y79" i="6"/>
  <c r="Z79" i="6"/>
  <c r="AC79" i="6" s="1"/>
  <c r="Z4" i="6"/>
  <c r="AC4" i="6" s="1"/>
  <c r="Y4" i="6"/>
  <c r="V7" i="6"/>
  <c r="W10" i="6"/>
  <c r="X10" i="6"/>
  <c r="AJ15" i="6"/>
  <c r="AL15" i="6"/>
  <c r="V24" i="6"/>
  <c r="V29" i="6"/>
  <c r="U38" i="6"/>
  <c r="X38" i="6"/>
  <c r="W38" i="6"/>
  <c r="AA43" i="6"/>
  <c r="AD43" i="6"/>
  <c r="AB43" i="6"/>
  <c r="AB48" i="6"/>
  <c r="AA48" i="6"/>
  <c r="AD48" i="6"/>
  <c r="AA53" i="6"/>
  <c r="AB53" i="6"/>
  <c r="AD53" i="6"/>
  <c r="AA61" i="6"/>
  <c r="AB61" i="6"/>
  <c r="AD61" i="6"/>
  <c r="X64" i="6"/>
  <c r="W64" i="6"/>
  <c r="W69" i="6"/>
  <c r="X69" i="6"/>
  <c r="AI71" i="6"/>
  <c r="AH71" i="6"/>
  <c r="AB79" i="6"/>
  <c r="AD79" i="6"/>
  <c r="AA79" i="6"/>
  <c r="Y7" i="6"/>
  <c r="Z7" i="6"/>
  <c r="AC7" i="6" s="1"/>
  <c r="W13" i="6"/>
  <c r="X13" i="6"/>
  <c r="AI15" i="6"/>
  <c r="AH15" i="6"/>
  <c r="AL21" i="6"/>
  <c r="AJ21" i="6"/>
  <c r="Y29" i="6"/>
  <c r="Z29" i="6"/>
  <c r="AC29" i="6" s="1"/>
  <c r="W51" i="6"/>
  <c r="X51" i="6"/>
  <c r="R66" i="6"/>
  <c r="AJ66" i="6"/>
  <c r="AG66" i="6"/>
  <c r="AH66" i="6"/>
  <c r="AI66" i="6"/>
  <c r="R79" i="6"/>
  <c r="AH79" i="6"/>
  <c r="AI79" i="6"/>
  <c r="AG79" i="6"/>
  <c r="AJ79" i="6"/>
  <c r="Y10" i="6"/>
  <c r="Z10" i="6"/>
  <c r="AC10" i="6" s="1"/>
  <c r="W16" i="6"/>
  <c r="X16" i="6"/>
  <c r="W19" i="6"/>
  <c r="X19" i="6"/>
  <c r="AA24" i="6"/>
  <c r="AB24" i="6"/>
  <c r="AD24" i="6"/>
  <c r="AH26" i="6"/>
  <c r="AI26" i="6"/>
  <c r="AN35" i="6"/>
  <c r="AL35" i="6"/>
  <c r="AJ35" i="6"/>
  <c r="W41" i="6"/>
  <c r="X41" i="6"/>
  <c r="V46" i="6"/>
  <c r="V51" i="6"/>
  <c r="R53" i="6"/>
  <c r="AJ53" i="6"/>
  <c r="AH53" i="6"/>
  <c r="AI53" i="6"/>
  <c r="AG53" i="6"/>
  <c r="AI58" i="6"/>
  <c r="AH58" i="6"/>
  <c r="Y64" i="6"/>
  <c r="Z64" i="6"/>
  <c r="AC64" i="6" s="1"/>
  <c r="Y69" i="6"/>
  <c r="Z69" i="6"/>
  <c r="AC69" i="6" s="1"/>
  <c r="AJ4" i="6"/>
  <c r="AL4" i="6"/>
  <c r="AB10" i="6"/>
  <c r="AA10" i="6"/>
  <c r="AD10" i="6"/>
  <c r="V16" i="6"/>
  <c r="V19" i="6"/>
  <c r="W22" i="6"/>
  <c r="X22" i="6"/>
  <c r="W27" i="6"/>
  <c r="X27" i="6"/>
  <c r="U27" i="6"/>
  <c r="AL32" i="6"/>
  <c r="AH32" i="6"/>
  <c r="AI32" i="6"/>
  <c r="AI35" i="6"/>
  <c r="AH35" i="6"/>
  <c r="AB38" i="6"/>
  <c r="AD38" i="6"/>
  <c r="AA38" i="6"/>
  <c r="V41" i="6"/>
  <c r="AN43" i="6"/>
  <c r="AL43" i="6"/>
  <c r="Z46" i="6"/>
  <c r="AC46" i="6" s="1"/>
  <c r="Y46" i="6"/>
  <c r="AN48" i="6"/>
  <c r="AL48" i="6"/>
  <c r="Y51" i="6"/>
  <c r="Z51" i="6"/>
  <c r="AC51" i="6" s="1"/>
  <c r="AN53" i="6"/>
  <c r="AL53" i="6"/>
  <c r="Y56" i="6"/>
  <c r="Z56" i="6"/>
  <c r="AC56" i="6" s="1"/>
  <c r="W59" i="6"/>
  <c r="X59" i="6"/>
  <c r="AH61" i="6"/>
  <c r="AI61" i="6"/>
  <c r="AA64" i="6"/>
  <c r="AB64" i="6"/>
  <c r="AD64" i="6"/>
  <c r="AB69" i="6"/>
  <c r="AA69" i="6"/>
  <c r="AD69" i="6"/>
  <c r="Y72" i="6"/>
  <c r="Z72" i="6"/>
  <c r="AC72" i="6" s="1"/>
  <c r="AN74" i="6"/>
  <c r="AL74" i="6"/>
  <c r="Z77" i="6"/>
  <c r="AC77" i="6" s="1"/>
  <c r="Y77" i="6"/>
  <c r="AO80" i="6"/>
  <c r="W80" i="6"/>
  <c r="X80" i="6"/>
  <c r="AH4" i="6"/>
  <c r="AI4" i="6"/>
  <c r="AJ7" i="6"/>
  <c r="AL7" i="6"/>
  <c r="AB13" i="6"/>
  <c r="AA13" i="6"/>
  <c r="AD13" i="6"/>
  <c r="Y16" i="6"/>
  <c r="Z16" i="6"/>
  <c r="AC16" i="6" s="1"/>
  <c r="Y19" i="6"/>
  <c r="Z19" i="6"/>
  <c r="AC19" i="6" s="1"/>
  <c r="V22" i="6"/>
  <c r="V27" i="6"/>
  <c r="V33" i="6"/>
  <c r="X33" i="6"/>
  <c r="W33" i="6"/>
  <c r="U33" i="6"/>
  <c r="U32" i="6"/>
  <c r="U36" i="6"/>
  <c r="W36" i="6"/>
  <c r="X36" i="6"/>
  <c r="Y41" i="6"/>
  <c r="Z41" i="6"/>
  <c r="AC41" i="6" s="1"/>
  <c r="AA46" i="6"/>
  <c r="AB46" i="6"/>
  <c r="AD46" i="6"/>
  <c r="AA51" i="6"/>
  <c r="AB51" i="6"/>
  <c r="AD51" i="6"/>
  <c r="AA56" i="6"/>
  <c r="AB56" i="6"/>
  <c r="AD56" i="6"/>
  <c r="V59" i="6"/>
  <c r="W62" i="6"/>
  <c r="X62" i="6"/>
  <c r="X67" i="6"/>
  <c r="W67" i="6"/>
  <c r="AD72" i="6"/>
  <c r="AB72" i="6"/>
  <c r="AA72" i="6"/>
  <c r="AD77" i="6"/>
  <c r="AA77" i="6"/>
  <c r="AB77" i="6"/>
  <c r="V80" i="6"/>
  <c r="W5" i="6"/>
  <c r="X5" i="6"/>
  <c r="AH7" i="6"/>
  <c r="AI7" i="6"/>
  <c r="AJ10" i="6"/>
  <c r="AL10" i="6"/>
  <c r="AA16" i="6"/>
  <c r="AB16" i="6"/>
  <c r="AD16" i="6"/>
  <c r="AB19" i="6"/>
  <c r="AD19" i="6"/>
  <c r="AA19" i="6"/>
  <c r="Z22" i="6"/>
  <c r="Y22" i="6"/>
  <c r="AN24" i="6"/>
  <c r="AL24" i="6"/>
  <c r="AJ24" i="6"/>
  <c r="Z27" i="6"/>
  <c r="AC27" i="6" s="1"/>
  <c r="Y27" i="6"/>
  <c r="AN29" i="6"/>
  <c r="AJ29" i="6"/>
  <c r="AL29" i="6"/>
  <c r="Z33" i="6"/>
  <c r="AC33" i="6" s="1"/>
  <c r="Y33" i="6"/>
  <c r="V36" i="6"/>
  <c r="AB41" i="6"/>
  <c r="AA41" i="6"/>
  <c r="AD41" i="6"/>
  <c r="W44" i="6"/>
  <c r="X44" i="6"/>
  <c r="W49" i="6"/>
  <c r="X49" i="6"/>
  <c r="W54" i="6"/>
  <c r="X54" i="6"/>
  <c r="Y59" i="6"/>
  <c r="Z59" i="6"/>
  <c r="AC59" i="6" s="1"/>
  <c r="V62" i="6"/>
  <c r="R64" i="6"/>
  <c r="AG64" i="6"/>
  <c r="AI64" i="6"/>
  <c r="AH64" i="6"/>
  <c r="AJ64" i="6"/>
  <c r="V67" i="6"/>
  <c r="AN69" i="6"/>
  <c r="AL69" i="6"/>
  <c r="AJ69" i="6"/>
  <c r="W75" i="6"/>
  <c r="X75" i="6"/>
  <c r="X3" i="6"/>
  <c r="W3" i="6"/>
  <c r="AB11" i="6"/>
  <c r="AD11" i="6"/>
  <c r="AA11" i="6"/>
  <c r="Z14" i="6"/>
  <c r="AC14" i="6" s="1"/>
  <c r="Y14" i="6"/>
  <c r="AH22" i="6"/>
  <c r="AI22" i="6"/>
  <c r="AD25" i="6"/>
  <c r="AA25" i="6"/>
  <c r="AB25" i="6"/>
  <c r="U34" i="6"/>
  <c r="W34" i="6"/>
  <c r="X34" i="6"/>
  <c r="AN36" i="6"/>
  <c r="AL36" i="6"/>
  <c r="Z39" i="6"/>
  <c r="AC39" i="6" s="1"/>
  <c r="Y39" i="6"/>
  <c r="R49" i="6"/>
  <c r="AG49" i="6"/>
  <c r="AJ49" i="6"/>
  <c r="AI49" i="6"/>
  <c r="AH49" i="6"/>
  <c r="R54" i="6"/>
  <c r="AJ54" i="6"/>
  <c r="AH54" i="6"/>
  <c r="AI54" i="6"/>
  <c r="AG54" i="6"/>
  <c r="W60" i="6"/>
  <c r="X60" i="6"/>
  <c r="AN62" i="6"/>
  <c r="AL62" i="6"/>
  <c r="Z65" i="6"/>
  <c r="AC65" i="6" s="1"/>
  <c r="Y65" i="6"/>
  <c r="AN67" i="6"/>
  <c r="AL67" i="6"/>
  <c r="AA70" i="6"/>
  <c r="AB70" i="6"/>
  <c r="AD70" i="6"/>
  <c r="R75" i="6"/>
  <c r="AH75" i="6"/>
  <c r="AG75" i="6"/>
  <c r="AJ75" i="6"/>
  <c r="AI75" i="6"/>
  <c r="AH5" i="6"/>
  <c r="AI5" i="6"/>
  <c r="W23" i="6"/>
  <c r="U23" i="6"/>
  <c r="X23" i="6"/>
  <c r="Z42" i="6"/>
  <c r="Y42" i="6"/>
  <c r="V60" i="6"/>
  <c r="AN75" i="6"/>
  <c r="AL75" i="6"/>
  <c r="AI8" i="6"/>
  <c r="AH8" i="6"/>
  <c r="AB17" i="6"/>
  <c r="AD17" i="6"/>
  <c r="AA17" i="6"/>
  <c r="V23" i="6"/>
  <c r="V28" i="6"/>
  <c r="Z34" i="6"/>
  <c r="AC34" i="6" s="1"/>
  <c r="Y34" i="6"/>
  <c r="W37" i="6"/>
  <c r="U37" i="6"/>
  <c r="X37" i="6"/>
  <c r="AD42" i="6"/>
  <c r="AB42" i="6"/>
  <c r="AA42" i="6"/>
  <c r="AD47" i="6"/>
  <c r="AB47" i="6"/>
  <c r="AA47" i="6"/>
  <c r="AD52" i="6"/>
  <c r="AA52" i="6"/>
  <c r="AB52" i="6"/>
  <c r="AB57" i="6"/>
  <c r="AD57" i="6"/>
  <c r="AA57" i="6"/>
  <c r="AN70" i="6"/>
  <c r="AJ70" i="6"/>
  <c r="AL70" i="6"/>
  <c r="W9" i="6"/>
  <c r="X9" i="6"/>
  <c r="Y28" i="6"/>
  <c r="Z28" i="6"/>
  <c r="AC28" i="6" s="1"/>
  <c r="AN39" i="6"/>
  <c r="AL39" i="6"/>
  <c r="AJ39" i="6"/>
  <c r="W76" i="6"/>
  <c r="X76" i="6"/>
  <c r="Z6" i="6"/>
  <c r="AC6" i="6" s="1"/>
  <c r="Y6" i="6"/>
  <c r="AI14" i="6"/>
  <c r="AH14" i="6"/>
  <c r="AJ20" i="6"/>
  <c r="AL20" i="6"/>
  <c r="AH25" i="6"/>
  <c r="AI25" i="6"/>
  <c r="AB28" i="6"/>
  <c r="AA28" i="6"/>
  <c r="AD28" i="6"/>
  <c r="Y37" i="6"/>
  <c r="Z37" i="6"/>
  <c r="AC37" i="6" s="1"/>
  <c r="R42" i="6"/>
  <c r="AH42" i="6"/>
  <c r="AG42" i="6"/>
  <c r="B4" i="10" s="1"/>
  <c r="C4" i="10" s="1"/>
  <c r="AI42" i="6"/>
  <c r="AJ42" i="6"/>
  <c r="V55" i="6"/>
  <c r="R73" i="6"/>
  <c r="AJ73" i="6"/>
  <c r="AH73" i="6"/>
  <c r="AG73" i="6"/>
  <c r="AI73" i="6"/>
  <c r="AN47" i="6"/>
  <c r="AL47" i="6"/>
  <c r="AH78" i="6"/>
  <c r="AI78" i="6"/>
  <c r="AJ3" i="6"/>
  <c r="AL3" i="6"/>
  <c r="V15" i="6"/>
  <c r="W21" i="6"/>
  <c r="X21" i="6"/>
  <c r="W35" i="6"/>
  <c r="U35" i="6"/>
  <c r="X35" i="6"/>
  <c r="AA50" i="6"/>
  <c r="AD50" i="6"/>
  <c r="AB50" i="6"/>
  <c r="AI60" i="6"/>
  <c r="AH60" i="6"/>
  <c r="Y71" i="6"/>
  <c r="Z71" i="6"/>
  <c r="AC71" i="6" s="1"/>
  <c r="W79" i="6"/>
  <c r="X79" i="6"/>
  <c r="AJ6" i="6"/>
  <c r="AL6" i="6"/>
  <c r="V21" i="6"/>
  <c r="V35" i="6"/>
  <c r="W53" i="6"/>
  <c r="X53" i="6"/>
  <c r="W74" i="6"/>
  <c r="X74" i="6"/>
  <c r="Z21" i="6"/>
  <c r="AC21" i="6" s="1"/>
  <c r="Y21" i="6"/>
  <c r="AI31" i="6"/>
  <c r="AH31" i="6"/>
  <c r="AB40" i="6"/>
  <c r="AA40" i="6"/>
  <c r="AD40" i="6"/>
  <c r="V48" i="6"/>
  <c r="R55" i="6"/>
  <c r="AH55" i="6"/>
  <c r="AJ55" i="6"/>
  <c r="AI55" i="6"/>
  <c r="AG55" i="6"/>
  <c r="AN63" i="6"/>
  <c r="AL63" i="6"/>
  <c r="V74" i="6"/>
  <c r="AJ12" i="6"/>
  <c r="AL12" i="6"/>
  <c r="AN76" i="6"/>
  <c r="AL76" i="6"/>
  <c r="AI12" i="6"/>
  <c r="AH12" i="6"/>
  <c r="Y32" i="6"/>
  <c r="Z32" i="6"/>
  <c r="AC32" i="6" s="1"/>
  <c r="AA74" i="6"/>
  <c r="AD74" i="6"/>
  <c r="AB74" i="6"/>
  <c r="V10" i="6"/>
  <c r="AH18" i="6"/>
  <c r="AI18" i="6"/>
  <c r="AN26" i="6"/>
  <c r="AJ26" i="6"/>
  <c r="AL26" i="6"/>
  <c r="AB32" i="6"/>
  <c r="AD32" i="6"/>
  <c r="AA32" i="6"/>
  <c r="AI40" i="6"/>
  <c r="AH40" i="6"/>
  <c r="W46" i="6"/>
  <c r="X46" i="6"/>
  <c r="AN58" i="6"/>
  <c r="AL58" i="6"/>
  <c r="AJ58" i="6"/>
  <c r="V64" i="6"/>
  <c r="V69" i="6"/>
  <c r="W72" i="6"/>
  <c r="X72" i="6"/>
  <c r="W77" i="6"/>
  <c r="X77" i="6"/>
  <c r="AA7" i="6"/>
  <c r="AB7" i="6"/>
  <c r="AD7" i="6"/>
  <c r="AH21" i="6"/>
  <c r="AI21" i="6"/>
  <c r="AA29" i="6"/>
  <c r="AB29" i="6"/>
  <c r="AD29" i="6"/>
  <c r="Y38" i="6"/>
  <c r="Z38" i="6"/>
  <c r="AC38" i="6" s="1"/>
  <c r="R43" i="6"/>
  <c r="AG43" i="6"/>
  <c r="AJ43" i="6"/>
  <c r="AI43" i="6"/>
  <c r="AH43" i="6"/>
  <c r="R48" i="6"/>
  <c r="AG48" i="6"/>
  <c r="AI48" i="6"/>
  <c r="AH48" i="6"/>
  <c r="AJ48" i="6"/>
  <c r="V56" i="6"/>
  <c r="AN61" i="6"/>
  <c r="AJ61" i="6"/>
  <c r="AL61" i="6"/>
  <c r="AN66" i="6"/>
  <c r="AL66" i="6"/>
  <c r="V72" i="6"/>
  <c r="R74" i="6"/>
  <c r="AH74" i="6"/>
  <c r="AG74" i="6"/>
  <c r="AI74" i="6"/>
  <c r="AJ74" i="6"/>
  <c r="R46" i="6"/>
  <c r="AJ46" i="6"/>
  <c r="AG46" i="6"/>
  <c r="AH46" i="6"/>
  <c r="AI46" i="6"/>
  <c r="Y80" i="6"/>
  <c r="Z80" i="6"/>
  <c r="AC80" i="6" s="1"/>
  <c r="Z5" i="6"/>
  <c r="AC5" i="6" s="1"/>
  <c r="Y5" i="6"/>
  <c r="V8" i="6"/>
  <c r="X11" i="6"/>
  <c r="W11" i="6"/>
  <c r="AJ16" i="6"/>
  <c r="AL16" i="6"/>
  <c r="AJ19" i="6"/>
  <c r="AL19" i="6"/>
  <c r="AA36" i="6"/>
  <c r="AB36" i="6"/>
  <c r="AD36" i="6"/>
  <c r="AI38" i="6"/>
  <c r="AH38" i="6"/>
  <c r="AN41" i="6"/>
  <c r="AJ41" i="6"/>
  <c r="AL41" i="6"/>
  <c r="AN46" i="6"/>
  <c r="AL46" i="6"/>
  <c r="Z49" i="6"/>
  <c r="AC49" i="6" s="1"/>
  <c r="Y49" i="6"/>
  <c r="AN51" i="6"/>
  <c r="AL51" i="6"/>
  <c r="Y54" i="6"/>
  <c r="Z54" i="6"/>
  <c r="AC54" i="6" s="1"/>
  <c r="AN56" i="6"/>
  <c r="AL56" i="6"/>
  <c r="AA62" i="6"/>
  <c r="AD62" i="6"/>
  <c r="AB62" i="6"/>
  <c r="AD67" i="6"/>
  <c r="AA67" i="6"/>
  <c r="AB67" i="6"/>
  <c r="W70" i="6"/>
  <c r="X70" i="6"/>
  <c r="AN72" i="6"/>
  <c r="AL72" i="6"/>
  <c r="Y75" i="6"/>
  <c r="Z75" i="6"/>
  <c r="AC75" i="6" s="1"/>
  <c r="AN77" i="6"/>
  <c r="AL77" i="6"/>
  <c r="Y8" i="6"/>
  <c r="Z8" i="6"/>
  <c r="AC8" i="6" s="1"/>
  <c r="W14" i="6"/>
  <c r="X14" i="6"/>
  <c r="AI16" i="6"/>
  <c r="AH16" i="6"/>
  <c r="AH19" i="6"/>
  <c r="AI19" i="6"/>
  <c r="V25" i="6"/>
  <c r="Z30" i="6"/>
  <c r="AC30" i="6" s="1"/>
  <c r="Y30" i="6"/>
  <c r="AN33" i="6"/>
  <c r="AJ33" i="6"/>
  <c r="AL33" i="6"/>
  <c r="X39" i="6"/>
  <c r="W39" i="6"/>
  <c r="U39" i="6"/>
  <c r="AH41" i="6"/>
  <c r="AI41" i="6"/>
  <c r="AB44" i="6"/>
  <c r="AD44" i="6"/>
  <c r="AA44" i="6"/>
  <c r="AA49" i="6"/>
  <c r="AB49" i="6"/>
  <c r="AD49" i="6"/>
  <c r="AD54" i="6"/>
  <c r="AA54" i="6"/>
  <c r="AB54" i="6"/>
  <c r="AN59" i="6"/>
  <c r="AL59" i="6"/>
  <c r="AJ59" i="6"/>
  <c r="W65" i="6"/>
  <c r="X65" i="6"/>
  <c r="V70" i="6"/>
  <c r="AA75" i="6"/>
  <c r="AB75" i="6"/>
  <c r="AD75" i="6"/>
  <c r="R80" i="6"/>
  <c r="AI80" i="6"/>
  <c r="AJ80" i="6"/>
  <c r="AG80" i="6"/>
  <c r="AH80" i="6"/>
  <c r="R44" i="6"/>
  <c r="AG44" i="6"/>
  <c r="AJ44" i="6"/>
  <c r="AI44" i="6"/>
  <c r="AH44" i="6"/>
  <c r="V3" i="6"/>
  <c r="Y17" i="6"/>
  <c r="Z17" i="6"/>
  <c r="AC17" i="6" s="1"/>
  <c r="AN30" i="6"/>
  <c r="AL30" i="6"/>
  <c r="AJ30" i="6"/>
  <c r="V34" i="6"/>
  <c r="AB39" i="6"/>
  <c r="AD39" i="6"/>
  <c r="AA39" i="6"/>
  <c r="Y47" i="6"/>
  <c r="Z47" i="6"/>
  <c r="AC47" i="6" s="1"/>
  <c r="AN54" i="6"/>
  <c r="AL54" i="6"/>
  <c r="AA65" i="6"/>
  <c r="AB65" i="6"/>
  <c r="AD65" i="6"/>
  <c r="Y78" i="6"/>
  <c r="Z78" i="6"/>
  <c r="AC78" i="6" s="1"/>
  <c r="W6" i="6"/>
  <c r="X6" i="6"/>
  <c r="AA20" i="6"/>
  <c r="AD20" i="6"/>
  <c r="AB20" i="6"/>
  <c r="AH30" i="6"/>
  <c r="AI30" i="6"/>
  <c r="W63" i="6"/>
  <c r="X63" i="6"/>
  <c r="AA73" i="6"/>
  <c r="AB73" i="6"/>
  <c r="AD73" i="6"/>
  <c r="Z3" i="6"/>
  <c r="AC3" i="6" s="1"/>
  <c r="Y3" i="6"/>
  <c r="AJ14" i="6"/>
  <c r="AL14" i="6"/>
  <c r="Y23" i="6"/>
  <c r="Z23" i="6"/>
  <c r="AC23" i="6" s="1"/>
  <c r="V37" i="6"/>
  <c r="W45" i="6"/>
  <c r="X45" i="6"/>
  <c r="W50" i="6"/>
  <c r="X50" i="6"/>
  <c r="W55" i="6"/>
  <c r="X55" i="6"/>
  <c r="V63" i="6"/>
  <c r="R65" i="6"/>
  <c r="AI65" i="6"/>
  <c r="AH65" i="6"/>
  <c r="AG65" i="6"/>
  <c r="AJ65" i="6"/>
  <c r="V68" i="6"/>
  <c r="AI70" i="6"/>
  <c r="AH70" i="6"/>
  <c r="AB3" i="6"/>
  <c r="AA3" i="6"/>
  <c r="AD3" i="6"/>
  <c r="W12" i="6"/>
  <c r="X12" i="6"/>
  <c r="AJ17" i="6"/>
  <c r="AL17" i="6"/>
  <c r="Y31" i="6"/>
  <c r="Z31" i="6"/>
  <c r="AC31" i="6" s="1"/>
  <c r="AG47" i="6"/>
  <c r="AI47" i="6"/>
  <c r="AH47" i="6"/>
  <c r="AJ47" i="6"/>
  <c r="V76" i="6"/>
  <c r="Z9" i="6"/>
  <c r="AC9" i="6" s="1"/>
  <c r="Y9" i="6"/>
  <c r="AN34" i="6"/>
  <c r="AJ34" i="6"/>
  <c r="AL34" i="6"/>
  <c r="Y45" i="6"/>
  <c r="Z45" i="6"/>
  <c r="AC45" i="6" s="1"/>
  <c r="AN52" i="6"/>
  <c r="AL52" i="6"/>
  <c r="AI57" i="6"/>
  <c r="AH57" i="6"/>
  <c r="AA63" i="6"/>
  <c r="AD63" i="6"/>
  <c r="AB63" i="6"/>
  <c r="V71" i="6"/>
  <c r="AN73" i="6"/>
  <c r="AL73" i="6"/>
  <c r="Y12" i="6"/>
  <c r="Z12" i="6"/>
  <c r="AC12" i="6" s="1"/>
  <c r="W58" i="6"/>
  <c r="X58" i="6"/>
  <c r="Y15" i="6"/>
  <c r="Z15" i="6"/>
  <c r="AC15" i="6" s="1"/>
  <c r="Y18" i="6"/>
  <c r="Z18" i="6"/>
  <c r="AC18" i="6" s="1"/>
  <c r="Y26" i="6"/>
  <c r="Z26" i="6"/>
  <c r="AN28" i="6"/>
  <c r="AL28" i="6"/>
  <c r="AJ28" i="6"/>
  <c r="Y40" i="6"/>
  <c r="Z40" i="6"/>
  <c r="AC40" i="6" s="1"/>
  <c r="W43" i="6"/>
  <c r="X43" i="6"/>
  <c r="W48" i="6"/>
  <c r="X48" i="6"/>
  <c r="W61" i="6"/>
  <c r="X61" i="6"/>
  <c r="R63" i="6"/>
  <c r="AG63" i="6"/>
  <c r="AI63" i="6"/>
  <c r="AH63" i="6"/>
  <c r="AJ63" i="6"/>
  <c r="V66" i="6"/>
  <c r="R68" i="6"/>
  <c r="AJ68" i="6"/>
  <c r="AG68" i="6"/>
  <c r="AI68" i="6"/>
  <c r="AH68" i="6"/>
  <c r="AB71" i="6"/>
  <c r="AD71" i="6"/>
  <c r="AA71" i="6"/>
  <c r="V79" i="6"/>
  <c r="X4" i="6"/>
  <c r="W4" i="6"/>
  <c r="AH6" i="6"/>
  <c r="AI6" i="6"/>
  <c r="AJ9" i="6"/>
  <c r="AL9" i="6"/>
  <c r="AA15" i="6"/>
  <c r="AB15" i="6"/>
  <c r="AD15" i="6"/>
  <c r="AA18" i="6"/>
  <c r="AB18" i="6"/>
  <c r="AD18" i="6"/>
  <c r="AA26" i="6"/>
  <c r="AB26" i="6"/>
  <c r="AD26" i="6"/>
  <c r="AH28" i="6"/>
  <c r="AI28" i="6"/>
  <c r="Y35" i="6"/>
  <c r="Z35" i="6"/>
  <c r="AC35" i="6" s="1"/>
  <c r="V43" i="6"/>
  <c r="R50" i="6"/>
  <c r="AH50" i="6"/>
  <c r="AJ50" i="6"/>
  <c r="AG50" i="6"/>
  <c r="AI50" i="6"/>
  <c r="V61" i="6"/>
  <c r="W7" i="6"/>
  <c r="X7" i="6"/>
  <c r="AB21" i="6"/>
  <c r="AA21" i="6"/>
  <c r="AD21" i="6"/>
  <c r="U29" i="6"/>
  <c r="W29" i="6"/>
  <c r="X29" i="6"/>
  <c r="AN45" i="6"/>
  <c r="AL45" i="6"/>
  <c r="Y74" i="6"/>
  <c r="Z74" i="6"/>
  <c r="AC74" i="6" s="1"/>
  <c r="AL18" i="6"/>
  <c r="AJ18" i="6"/>
  <c r="AN40" i="6"/>
  <c r="AL40" i="6"/>
  <c r="AJ40" i="6"/>
  <c r="AA4" i="6"/>
  <c r="AB4" i="6"/>
  <c r="AD4" i="6"/>
  <c r="Y24" i="6"/>
  <c r="Z24" i="6"/>
  <c r="V38" i="6"/>
  <c r="W56" i="6"/>
  <c r="X56" i="6"/>
  <c r="V13" i="6"/>
  <c r="V77" i="6"/>
  <c r="Y13" i="6"/>
  <c r="Z13" i="6"/>
  <c r="AC13" i="6" s="1"/>
  <c r="W8" i="6"/>
  <c r="X8" i="6"/>
  <c r="AI10" i="6"/>
  <c r="AH10" i="6"/>
  <c r="AJ13" i="6"/>
  <c r="AL13" i="6"/>
  <c r="AD22" i="6"/>
  <c r="AA22" i="6"/>
  <c r="AB22" i="6"/>
  <c r="AH24" i="6"/>
  <c r="AI24" i="6"/>
  <c r="AB27" i="6"/>
  <c r="AD27" i="6"/>
  <c r="AA27" i="6"/>
  <c r="AH29" i="6"/>
  <c r="AI29" i="6"/>
  <c r="AB33" i="6"/>
  <c r="AA33" i="6"/>
  <c r="AD33" i="6"/>
  <c r="Y36" i="6"/>
  <c r="Z36" i="6"/>
  <c r="AC36" i="6" s="1"/>
  <c r="AN38" i="6"/>
  <c r="AL38" i="6"/>
  <c r="AJ38" i="6"/>
  <c r="R51" i="6"/>
  <c r="AH51" i="6"/>
  <c r="AG51" i="6"/>
  <c r="AJ51" i="6"/>
  <c r="AI51" i="6"/>
  <c r="R56" i="6"/>
  <c r="AI56" i="6"/>
  <c r="AH56" i="6"/>
  <c r="AJ56" i="6"/>
  <c r="AG56" i="6"/>
  <c r="AA59" i="6"/>
  <c r="AB59" i="6"/>
  <c r="AD59" i="6"/>
  <c r="Y62" i="6"/>
  <c r="Z62" i="6"/>
  <c r="AN64" i="6"/>
  <c r="AL64" i="6"/>
  <c r="Y67" i="6"/>
  <c r="Z67" i="6"/>
  <c r="AC67" i="6" s="1"/>
  <c r="AI69" i="6"/>
  <c r="AH69" i="6"/>
  <c r="R72" i="6"/>
  <c r="AJ72" i="6"/>
  <c r="AG72" i="6"/>
  <c r="AH72" i="6"/>
  <c r="AI72" i="6"/>
  <c r="R77" i="6"/>
  <c r="AI77" i="6"/>
  <c r="AJ77" i="6"/>
  <c r="AH77" i="6"/>
  <c r="AG77" i="6"/>
  <c r="AI13" i="6"/>
  <c r="AH13" i="6"/>
  <c r="X25" i="6"/>
  <c r="U25" i="6"/>
  <c r="W25" i="6"/>
  <c r="Y44" i="6"/>
  <c r="Z44" i="6"/>
  <c r="AC44" i="6" s="1"/>
  <c r="AA80" i="6"/>
  <c r="AB80" i="6"/>
  <c r="AD80" i="6"/>
  <c r="AA5" i="6"/>
  <c r="AD5" i="6"/>
  <c r="AB5" i="6"/>
  <c r="V11" i="6"/>
  <c r="AA8" i="6"/>
  <c r="AB8" i="6"/>
  <c r="AD8" i="6"/>
  <c r="Y11" i="6"/>
  <c r="Z11" i="6"/>
  <c r="AC11" i="6" s="1"/>
  <c r="V14" i="6"/>
  <c r="W17" i="6"/>
  <c r="X17" i="6"/>
  <c r="W20" i="6"/>
  <c r="X20" i="6"/>
  <c r="AN22" i="6"/>
  <c r="AJ22" i="6"/>
  <c r="AL22" i="6"/>
  <c r="Y25" i="6"/>
  <c r="Z25" i="6"/>
  <c r="AN27" i="6"/>
  <c r="AJ27" i="6"/>
  <c r="AL27" i="6"/>
  <c r="AB30" i="6"/>
  <c r="AA30" i="6"/>
  <c r="AD30" i="6"/>
  <c r="AI33" i="6"/>
  <c r="AH33" i="6"/>
  <c r="R36" i="6"/>
  <c r="AJ36" i="6"/>
  <c r="AI36" i="6"/>
  <c r="AG36" i="6"/>
  <c r="AH36" i="6"/>
  <c r="V39" i="6"/>
  <c r="W42" i="6"/>
  <c r="X42" i="6"/>
  <c r="W47" i="6"/>
  <c r="X47" i="6"/>
  <c r="X52" i="6"/>
  <c r="W52" i="6"/>
  <c r="W57" i="6"/>
  <c r="X57" i="6"/>
  <c r="AH59" i="6"/>
  <c r="AI59" i="6"/>
  <c r="R62" i="6"/>
  <c r="AH62" i="6"/>
  <c r="AI62" i="6"/>
  <c r="AJ62" i="6"/>
  <c r="AG62" i="6"/>
  <c r="B5" i="10" s="1"/>
  <c r="C5" i="10" s="1"/>
  <c r="V65" i="6"/>
  <c r="R67" i="6"/>
  <c r="AG67" i="6"/>
  <c r="AJ67" i="6"/>
  <c r="AH67" i="6"/>
  <c r="AI67" i="6"/>
  <c r="Z70" i="6"/>
  <c r="AC70" i="6" s="1"/>
  <c r="Y70" i="6"/>
  <c r="W73" i="6"/>
  <c r="X73" i="6"/>
  <c r="W78" i="6"/>
  <c r="X78" i="6"/>
  <c r="AN10" i="6"/>
  <c r="AN15" i="6"/>
  <c r="AN18" i="6"/>
  <c r="AN3" i="6"/>
  <c r="AN8" i="6"/>
  <c r="AN13" i="6"/>
  <c r="AI3" i="6"/>
  <c r="AN21" i="6"/>
  <c r="AN6" i="6"/>
  <c r="AN11" i="6"/>
  <c r="AN16" i="6"/>
  <c r="AN19" i="6"/>
  <c r="AN4" i="6"/>
  <c r="AN9" i="6"/>
  <c r="AN14" i="6"/>
  <c r="AN2" i="6"/>
  <c r="AJ2" i="6"/>
  <c r="AL2" i="6"/>
  <c r="AN7" i="6"/>
  <c r="AN12" i="6"/>
  <c r="AN17" i="6"/>
  <c r="AI2" i="6"/>
  <c r="AH2" i="6"/>
  <c r="AN20" i="6"/>
  <c r="AN5" i="6"/>
  <c r="V2" i="6"/>
  <c r="AA2" i="6"/>
  <c r="AB2" i="6"/>
  <c r="U17" i="6"/>
  <c r="Y2" i="6"/>
  <c r="J23" i="10"/>
  <c r="K23" i="10" s="1"/>
  <c r="J24" i="10"/>
  <c r="L24" i="10" s="1"/>
  <c r="AK2" i="6"/>
  <c r="E2" i="6"/>
  <c r="W2" i="6" s="1"/>
  <c r="U70" i="6"/>
  <c r="U45" i="6"/>
  <c r="U73" i="6"/>
  <c r="U12" i="6"/>
  <c r="U56" i="6"/>
  <c r="U3" i="6"/>
  <c r="U47" i="6"/>
  <c r="U58" i="6"/>
  <c r="U60" i="6"/>
  <c r="U62" i="6"/>
  <c r="U75" i="6"/>
  <c r="U14" i="6"/>
  <c r="U5" i="6"/>
  <c r="U49" i="6"/>
  <c r="U64" i="6"/>
  <c r="U77" i="6"/>
  <c r="U16" i="6"/>
  <c r="U51" i="6"/>
  <c r="U42" i="6"/>
  <c r="U7" i="6"/>
  <c r="U66" i="6"/>
  <c r="U9" i="6"/>
  <c r="U20" i="6"/>
  <c r="U53" i="6"/>
  <c r="U68" i="6"/>
  <c r="AO79" i="6"/>
  <c r="U74" i="6"/>
  <c r="U13" i="6"/>
  <c r="U57" i="6"/>
  <c r="U59" i="6"/>
  <c r="U4" i="6"/>
  <c r="U48" i="6"/>
  <c r="U63" i="6"/>
  <c r="U76" i="6"/>
  <c r="U15" i="6"/>
  <c r="U72" i="6"/>
  <c r="U11" i="6"/>
  <c r="U55" i="6"/>
  <c r="U2" i="6"/>
  <c r="U6" i="6"/>
  <c r="U65" i="6"/>
  <c r="U78" i="6"/>
  <c r="U44" i="6"/>
  <c r="U46" i="6"/>
  <c r="U50" i="6"/>
  <c r="U8" i="6"/>
  <c r="U18" i="6"/>
  <c r="U19" i="6"/>
  <c r="U52" i="6"/>
  <c r="U67" i="6"/>
  <c r="J22" i="10"/>
  <c r="L22" i="10" s="1"/>
  <c r="C77" i="11"/>
  <c r="U43" i="6"/>
  <c r="U22" i="6"/>
  <c r="U10" i="6"/>
  <c r="U54" i="6"/>
  <c r="U69" i="6"/>
  <c r="U71" i="6"/>
  <c r="AC2" i="6"/>
  <c r="AO56" i="6"/>
  <c r="AP56" i="6"/>
  <c r="AO3" i="6"/>
  <c r="AP3" i="6"/>
  <c r="AO58" i="6"/>
  <c r="AP58" i="6"/>
  <c r="AO14" i="6"/>
  <c r="AP14" i="6"/>
  <c r="AO5" i="6"/>
  <c r="AP5" i="6"/>
  <c r="AO36" i="6"/>
  <c r="AP36" i="6"/>
  <c r="AO49" i="6"/>
  <c r="AP49" i="6"/>
  <c r="AO64" i="6"/>
  <c r="AP64" i="6"/>
  <c r="AO77" i="6"/>
  <c r="AP77" i="6"/>
  <c r="AO27" i="6"/>
  <c r="AP27" i="6"/>
  <c r="AO7" i="6"/>
  <c r="AP7" i="6"/>
  <c r="AO38" i="6"/>
  <c r="AP38" i="6"/>
  <c r="AO51" i="6"/>
  <c r="AP51" i="6"/>
  <c r="AO66" i="6"/>
  <c r="AP66" i="6"/>
  <c r="AO29" i="6"/>
  <c r="AP29" i="6"/>
  <c r="AO40" i="6"/>
  <c r="AP40" i="6"/>
  <c r="AO42" i="6"/>
  <c r="AP42" i="6"/>
  <c r="AO9" i="6"/>
  <c r="AP9" i="6"/>
  <c r="AO20" i="6"/>
  <c r="AP20" i="6"/>
  <c r="AO53" i="6"/>
  <c r="AP53" i="6"/>
  <c r="AO68" i="6"/>
  <c r="AP68" i="6"/>
  <c r="AO31" i="6"/>
  <c r="AP31" i="6"/>
  <c r="AO44" i="6"/>
  <c r="AP44" i="6"/>
  <c r="AO70" i="6"/>
  <c r="AP70" i="6"/>
  <c r="AO72" i="6"/>
  <c r="AP72" i="6"/>
  <c r="AO22" i="6"/>
  <c r="AP22" i="6"/>
  <c r="AO55" i="6"/>
  <c r="AP55" i="6"/>
  <c r="AO2" i="6"/>
  <c r="AP2" i="6"/>
  <c r="AO33" i="6"/>
  <c r="AP33" i="6"/>
  <c r="AO46" i="6"/>
  <c r="AP46" i="6"/>
  <c r="AO13" i="6"/>
  <c r="AP13" i="6"/>
  <c r="AO57" i="6"/>
  <c r="AP57" i="6"/>
  <c r="AO61" i="6"/>
  <c r="AP61" i="6"/>
  <c r="AO45" i="6"/>
  <c r="AP45" i="6"/>
  <c r="AO73" i="6"/>
  <c r="AP73" i="6"/>
  <c r="AO60" i="6"/>
  <c r="AP60" i="6"/>
  <c r="AO25" i="6"/>
  <c r="AP25" i="6"/>
  <c r="AO59" i="6"/>
  <c r="AP59" i="6"/>
  <c r="AO4" i="6"/>
  <c r="AP4" i="6"/>
  <c r="AO63" i="6"/>
  <c r="AP63" i="6"/>
  <c r="AO76" i="6"/>
  <c r="AP76" i="6"/>
  <c r="AO15" i="6"/>
  <c r="AP15" i="6"/>
  <c r="AO26" i="6"/>
  <c r="AP26" i="6"/>
  <c r="AO6" i="6"/>
  <c r="AP6" i="6"/>
  <c r="AO37" i="6"/>
  <c r="AP37" i="6"/>
  <c r="AO50" i="6"/>
  <c r="AP50" i="6"/>
  <c r="AO65" i="6"/>
  <c r="AP65" i="6"/>
  <c r="AO78" i="6"/>
  <c r="AP78" i="6"/>
  <c r="AO17" i="6"/>
  <c r="AP17" i="6"/>
  <c r="AO28" i="6"/>
  <c r="AP28" i="6"/>
  <c r="AO8" i="6"/>
  <c r="AP8" i="6"/>
  <c r="AO19" i="6"/>
  <c r="AP19" i="6"/>
  <c r="AO39" i="6"/>
  <c r="AP39" i="6"/>
  <c r="AO41" i="6"/>
  <c r="AP41" i="6"/>
  <c r="AO52" i="6"/>
  <c r="AP52" i="6"/>
  <c r="AO67" i="6"/>
  <c r="AP67" i="6"/>
  <c r="AO12" i="6"/>
  <c r="AP12" i="6"/>
  <c r="AO75" i="6"/>
  <c r="AP75" i="6"/>
  <c r="AO16" i="6"/>
  <c r="AP16" i="6"/>
  <c r="AO74" i="6"/>
  <c r="AP74" i="6"/>
  <c r="AO48" i="6"/>
  <c r="AP48" i="6"/>
  <c r="AO30" i="6"/>
  <c r="AP30" i="6"/>
  <c r="AO43" i="6"/>
  <c r="AP43" i="6"/>
  <c r="AO32" i="6"/>
  <c r="AP32" i="6"/>
  <c r="AO23" i="6"/>
  <c r="AP23" i="6"/>
  <c r="AO34" i="6"/>
  <c r="AP34" i="6"/>
  <c r="AO47" i="6"/>
  <c r="AP47" i="6"/>
  <c r="AO62" i="6"/>
  <c r="AP62" i="6"/>
  <c r="AO11" i="6"/>
  <c r="AP11" i="6"/>
  <c r="AO24" i="6"/>
  <c r="AP24" i="6"/>
  <c r="AO35" i="6"/>
  <c r="AP35" i="6"/>
  <c r="AO10" i="6"/>
  <c r="AP10" i="6"/>
  <c r="AO21" i="6"/>
  <c r="AP21" i="6"/>
  <c r="AO54" i="6"/>
  <c r="AP54" i="6"/>
  <c r="AO69" i="6"/>
  <c r="AP69" i="6"/>
  <c r="AO71" i="6"/>
  <c r="AP71" i="6"/>
  <c r="L21" i="10"/>
  <c r="K21" i="10"/>
  <c r="AC26" i="6" l="1"/>
  <c r="E65" i="11"/>
  <c r="E69" i="11" s="1"/>
  <c r="E21" i="10"/>
  <c r="AC62" i="6"/>
  <c r="E24" i="10"/>
  <c r="E23" i="10"/>
  <c r="AC42" i="6"/>
  <c r="AC24" i="6"/>
  <c r="C65" i="11"/>
  <c r="L23" i="10"/>
  <c r="M23" i="10" s="1"/>
  <c r="AC22" i="6"/>
  <c r="E22" i="10"/>
  <c r="K24" i="10"/>
  <c r="AC25" i="6"/>
  <c r="D65" i="11"/>
  <c r="D69" i="11" s="1"/>
  <c r="K22" i="10"/>
  <c r="M21" i="10"/>
  <c r="M24" i="10"/>
  <c r="C2" i="10"/>
  <c r="M22" i="10" l="1"/>
  <c r="D70" i="11"/>
  <c r="D73" i="11"/>
  <c r="D74" i="11" s="1"/>
  <c r="F65" i="11"/>
  <c r="F69" i="11" s="1"/>
  <c r="G65" i="11"/>
  <c r="G69" i="11" s="1"/>
  <c r="H65" i="11"/>
  <c r="H69" i="11" s="1"/>
  <c r="I65" i="11"/>
  <c r="I69" i="11" s="1"/>
  <c r="J65" i="11"/>
  <c r="J69" i="11" s="1"/>
  <c r="E73" i="11"/>
  <c r="E74" i="11" s="1"/>
  <c r="E70" i="11"/>
  <c r="I73" i="11" l="1"/>
  <c r="I74" i="11" s="1"/>
  <c r="I70" i="11"/>
  <c r="G73" i="11"/>
  <c r="G74" i="11" s="1"/>
  <c r="G70" i="11"/>
  <c r="J73" i="11"/>
  <c r="J70" i="11"/>
  <c r="H73" i="11"/>
  <c r="H74" i="11" s="1"/>
  <c r="H70" i="11"/>
  <c r="F70" i="11"/>
  <c r="F73" i="11"/>
  <c r="F74" i="11" s="1"/>
  <c r="K73" i="11" l="1"/>
  <c r="K74" i="11" s="1"/>
  <c r="J74" i="11"/>
  <c r="C76" i="11" l="1"/>
  <c r="C80" i="11" s="1"/>
</calcChain>
</file>

<file path=xl/sharedStrings.xml><?xml version="1.0" encoding="utf-8"?>
<sst xmlns="http://schemas.openxmlformats.org/spreadsheetml/2006/main" count="643" uniqueCount="211">
  <si>
    <t>Total Revenue</t>
  </si>
  <si>
    <t>Gross Profit</t>
  </si>
  <si>
    <t>Total Operating Expense</t>
  </si>
  <si>
    <t>Operating Income</t>
  </si>
  <si>
    <t>Net Income Before Taxes</t>
  </si>
  <si>
    <t>Net Income</t>
  </si>
  <si>
    <t>Basic EPS Excluding Extraordinary Items</t>
  </si>
  <si>
    <t>Basic EPS Including Extraordinary Items</t>
  </si>
  <si>
    <t>Normalized Basic EPS</t>
  </si>
  <si>
    <t>Basic Weighted Average Shares</t>
  </si>
  <si>
    <t>Diluted EPS Excluding ExtraOrd Items</t>
  </si>
  <si>
    <t>Diluted EPS Including ExtraOrd Items</t>
  </si>
  <si>
    <t>Normalized Diluted EPS</t>
  </si>
  <si>
    <t>Diluted Weighted Average Shares</t>
  </si>
  <si>
    <t>Dividends Per Share</t>
  </si>
  <si>
    <t>Number of Employees</t>
  </si>
  <si>
    <t>Ticker</t>
  </si>
  <si>
    <t>AMZN</t>
  </si>
  <si>
    <t>Cash, Cash Equiv. &amp; Short Term Inv.</t>
  </si>
  <si>
    <t>Total Inventory</t>
  </si>
  <si>
    <t>Prepaid Expenses</t>
  </si>
  <si>
    <t>Total Current Assets</t>
  </si>
  <si>
    <t>Long Term Investments</t>
  </si>
  <si>
    <t>Note Receivable - Long Term</t>
  </si>
  <si>
    <t>Total Assets</t>
  </si>
  <si>
    <t>Accounts Payable</t>
  </si>
  <si>
    <t>Accrued Expenses</t>
  </si>
  <si>
    <t>Current Port. of  LT Debt/Capital Leases</t>
  </si>
  <si>
    <t>Notes Payable/Short Term Debt</t>
  </si>
  <si>
    <t>Total Current Liabilities</t>
  </si>
  <si>
    <t>Total Long Term Debt</t>
  </si>
  <si>
    <t>Deferred Income Tax</t>
  </si>
  <si>
    <t>Other Liabilities, Total</t>
  </si>
  <si>
    <t>Minority Interest</t>
  </si>
  <si>
    <t>Total Liabilities</t>
  </si>
  <si>
    <t>Common Stock</t>
  </si>
  <si>
    <t>Additional Paid-In Capital</t>
  </si>
  <si>
    <t>Retained Earnings (Accumulated Deficit)</t>
  </si>
  <si>
    <t>Treasury Stock - Common</t>
  </si>
  <si>
    <t>Unrealized Gain (Loss)</t>
  </si>
  <si>
    <t>Other Equity, Total</t>
  </si>
  <si>
    <t>Total Equity</t>
  </si>
  <si>
    <t>Total Liabilities &amp; Shareholders' Equity</t>
  </si>
  <si>
    <t>Total Common Shares Outstanding</t>
  </si>
  <si>
    <t>Changes in Working Capital</t>
  </si>
  <si>
    <t>Cash from Operating Activities</t>
  </si>
  <si>
    <t>Capital Expenditures</t>
  </si>
  <si>
    <t>Sale of Fixed Assets</t>
  </si>
  <si>
    <t>Acquisition of Business</t>
  </si>
  <si>
    <t>Sale/Maturity of Investment</t>
  </si>
  <si>
    <t>Other Investing Cash Flow Items, Total</t>
  </si>
  <si>
    <t>Cash from Investing Activities</t>
  </si>
  <si>
    <t>Total Cash Dividends Paid</t>
  </si>
  <si>
    <t>Cash from Financing Activities</t>
  </si>
  <si>
    <t>Foreign Exchange Effects</t>
  </si>
  <si>
    <t>Net Change in Cash</t>
  </si>
  <si>
    <t>Net Cash - Beginning Balance</t>
  </si>
  <si>
    <t>Net Cash - Ending Balance</t>
  </si>
  <si>
    <t>MSFT</t>
  </si>
  <si>
    <t>GOOG</t>
  </si>
  <si>
    <t>META</t>
  </si>
  <si>
    <t>Accumulated Depreciation, Total</t>
  </si>
  <si>
    <t xml:space="preserve">    Cost of Revenue</t>
  </si>
  <si>
    <t>SG&amp;A</t>
  </si>
  <si>
    <t>R&amp;D</t>
  </si>
  <si>
    <t>D&amp;A</t>
  </si>
  <si>
    <t>Unusual Expense</t>
  </si>
  <si>
    <t>Other Operating Expenses</t>
  </si>
  <si>
    <t>Other</t>
  </si>
  <si>
    <t>Gain (Loss) on Sale of Assets</t>
  </si>
  <si>
    <t>Interest Inc.(Exp)</t>
  </si>
  <si>
    <t>Provision for Income Taxes</t>
  </si>
  <si>
    <t>Total Receivables</t>
  </si>
  <si>
    <t>Other Current Assets</t>
  </si>
  <si>
    <t>Cash &amp; Equivalents</t>
  </si>
  <si>
    <t>PP&amp;E Gross</t>
  </si>
  <si>
    <t>PP&amp;E Net</t>
  </si>
  <si>
    <t>Goodwill</t>
  </si>
  <si>
    <t>Intangibles</t>
  </si>
  <si>
    <t>Other Long Term Assets</t>
  </si>
  <si>
    <t>Other Current Liabilities</t>
  </si>
  <si>
    <t>Long Term Debt</t>
  </si>
  <si>
    <t>Capital Lease Obligations</t>
  </si>
  <si>
    <t>Short Term Debt</t>
  </si>
  <si>
    <t>Issuance (Retirement) of Debt</t>
  </si>
  <si>
    <t>Issuance (Retirement) of Stock</t>
  </si>
  <si>
    <t>FY</t>
  </si>
  <si>
    <t>Current Ratio</t>
  </si>
  <si>
    <t>Quick Ratio</t>
  </si>
  <si>
    <t>Interest Coverage</t>
  </si>
  <si>
    <t>Gross Margin</t>
  </si>
  <si>
    <t>Operating Margin</t>
  </si>
  <si>
    <t>EBITDA Margin</t>
  </si>
  <si>
    <t>Net Profit Margin</t>
  </si>
  <si>
    <t>Revenue</t>
  </si>
  <si>
    <t>Gross profit</t>
  </si>
  <si>
    <t>Pretax Income</t>
  </si>
  <si>
    <t>Current Assets</t>
  </si>
  <si>
    <t>Current Liabilities</t>
  </si>
  <si>
    <t>Total Debt</t>
  </si>
  <si>
    <t>Equity</t>
  </si>
  <si>
    <t>CAPEX</t>
  </si>
  <si>
    <t>Cash + Investments</t>
  </si>
  <si>
    <t>Pretax Margin</t>
  </si>
  <si>
    <t>Effective Tax Rate</t>
  </si>
  <si>
    <t>Net Debt</t>
  </si>
  <si>
    <t>Book Value Per Share</t>
  </si>
  <si>
    <t>Debt / Equity</t>
  </si>
  <si>
    <t xml:space="preserve"> Debt / Capital</t>
  </si>
  <si>
    <t>Debt / Assets</t>
  </si>
  <si>
    <t>EBITDA</t>
  </si>
  <si>
    <t>EBIT</t>
  </si>
  <si>
    <t>ROE</t>
  </si>
  <si>
    <t>ROA</t>
  </si>
  <si>
    <t>Financial Leverage</t>
  </si>
  <si>
    <t>Change NWC</t>
  </si>
  <si>
    <t>FCFF</t>
  </si>
  <si>
    <t>TV</t>
  </si>
  <si>
    <t>EV/EBITDA</t>
  </si>
  <si>
    <t>COMPS</t>
  </si>
  <si>
    <t>Cost of Debt</t>
  </si>
  <si>
    <t>Tax Rate</t>
  </si>
  <si>
    <t>Beta</t>
  </si>
  <si>
    <t>Rf</t>
  </si>
  <si>
    <t>MRP</t>
  </si>
  <si>
    <t>Cost of Equity</t>
  </si>
  <si>
    <t>WACC</t>
  </si>
  <si>
    <t>Debt</t>
  </si>
  <si>
    <t>Debt %</t>
  </si>
  <si>
    <t>Equity  %</t>
  </si>
  <si>
    <t>EV</t>
  </si>
  <si>
    <t>CapEx / Revenue</t>
  </si>
  <si>
    <t>PPE / Assets</t>
  </si>
  <si>
    <t>Op Cash / Revenue</t>
  </si>
  <si>
    <t>FCF Margin</t>
  </si>
  <si>
    <t>ROIC</t>
  </si>
  <si>
    <t>Revenue Growth</t>
  </si>
  <si>
    <t>PV</t>
  </si>
  <si>
    <t>Jun. 30, 2025</t>
  </si>
  <si>
    <t>Jun. 30, 2024</t>
  </si>
  <si>
    <t>Current assets:</t>
  </si>
  <si>
    <t>Cash and cash equivalents</t>
  </si>
  <si>
    <t>Short-term investments</t>
  </si>
  <si>
    <t>Total cash, cash equivalents, and short-term investments</t>
  </si>
  <si>
    <t>Accounts receivable, net of allowance for doubtful accounts of $944 and $830</t>
  </si>
  <si>
    <t>Inventories</t>
  </si>
  <si>
    <t>Other current assets</t>
  </si>
  <si>
    <t>Total current assets</t>
  </si>
  <si>
    <t>Property and equipment, net of accumulated depreciation of $93,653 and $76,421</t>
  </si>
  <si>
    <t>Operating lease right-of-use assets</t>
  </si>
  <si>
    <t>Equity and other investments</t>
  </si>
  <si>
    <t>Intangible assets, net</t>
  </si>
  <si>
    <t>Other long-term assets</t>
  </si>
  <si>
    <t>Total assets</t>
  </si>
  <si>
    <t>Current liabilities:</t>
  </si>
  <si>
    <t>Accounts payable</t>
  </si>
  <si>
    <t>Short-term debt</t>
  </si>
  <si>
    <t>Current portion of long-term debt</t>
  </si>
  <si>
    <t>Accrued compensation</t>
  </si>
  <si>
    <t>Short-term income taxes</t>
  </si>
  <si>
    <t>Short-term unearned revenue</t>
  </si>
  <si>
    <t>Other current liabilities</t>
  </si>
  <si>
    <t>Total current liabilities</t>
  </si>
  <si>
    <t>Long-term debt</t>
  </si>
  <si>
    <t>Long-term income taxes</t>
  </si>
  <si>
    <t>Long-term unearned revenue</t>
  </si>
  <si>
    <t>Deferred income taxes</t>
  </si>
  <si>
    <t>Operating lease liabilities</t>
  </si>
  <si>
    <t>Other long-term liabilities</t>
  </si>
  <si>
    <t>Total liabilities</t>
  </si>
  <si>
    <t>Commitments and contingencies</t>
  </si>
  <si>
    <t>Stockholders’ equity:</t>
  </si>
  <si>
    <t>Common stock and paid-in capital - shares authorized 24,000; outstanding 7,434 and 7,434</t>
  </si>
  <si>
    <t>Retained earnings</t>
  </si>
  <si>
    <t>Accumulated other comprehensive loss</t>
  </si>
  <si>
    <t>Total stockholders’ equity</t>
  </si>
  <si>
    <t>Total liabilities and stockholders’ equity</t>
  </si>
  <si>
    <t>shares in Millions, $ in Millions</t>
  </si>
  <si>
    <t>Jun. 30, 2023</t>
  </si>
  <si>
    <t>Cost of revenue</t>
  </si>
  <si>
    <t>Gross margin</t>
  </si>
  <si>
    <t>Research and development</t>
  </si>
  <si>
    <t>Sales and marketing</t>
  </si>
  <si>
    <t>General and administrative</t>
  </si>
  <si>
    <t>Operating income</t>
  </si>
  <si>
    <t>Other income (expense), net</t>
  </si>
  <si>
    <t>Income before income taxes</t>
  </si>
  <si>
    <t>Provision for income taxes</t>
  </si>
  <si>
    <t>Net income</t>
  </si>
  <si>
    <t>INCOME STATEMENTS</t>
  </si>
  <si>
    <t>3 Year Avg</t>
  </si>
  <si>
    <t>BALANCE SHEETS % of Sales</t>
  </si>
  <si>
    <t>INCOME STATEMENTS % of Sales</t>
  </si>
  <si>
    <t>Jun. 30, 2026</t>
  </si>
  <si>
    <t>Jun. 30, 2027</t>
  </si>
  <si>
    <t>Jun. 30, 2028</t>
  </si>
  <si>
    <t>Jun. 30, 2029</t>
  </si>
  <si>
    <t>Jun. 30, 2030</t>
  </si>
  <si>
    <t xml:space="preserve">BALANCE SHEETS </t>
  </si>
  <si>
    <t>EBIT * (1-Tax)</t>
  </si>
  <si>
    <t>CapEx</t>
  </si>
  <si>
    <t>Depreciation</t>
  </si>
  <si>
    <t>DCF</t>
  </si>
  <si>
    <t>Cash</t>
  </si>
  <si>
    <t>Shares</t>
  </si>
  <si>
    <t>Price</t>
  </si>
  <si>
    <t>Per Share</t>
  </si>
  <si>
    <t>Interest Expense</t>
  </si>
  <si>
    <t>Operating Leases</t>
  </si>
  <si>
    <t>Finance Leases</t>
  </si>
  <si>
    <t>Adjusted 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</si>
</sst>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0.000%"/>
    <numFmt numFmtId="165" formatCode="#,##0.00\x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10" xfId="0" applyBorder="1"/>
    <xf numFmtId="14" fontId="0" fillId="0" borderId="10" xfId="0" applyNumberFormat="1" applyBorder="1"/>
    <xf numFmtId="3" fontId="0" fillId="0" borderId="10" xfId="0" applyNumberFormat="1" applyBorder="1"/>
    <xf numFmtId="10" fontId="0" fillId="0" borderId="10" xfId="0" applyNumberFormat="1" applyBorder="1"/>
    <xf numFmtId="9" fontId="0" fillId="0" borderId="10" xfId="0" applyNumberFormat="1" applyBorder="1"/>
    <xf numFmtId="0" fontId="18" fillId="0" borderId="0" xfId="0" applyFont="1"/>
    <xf numFmtId="0" fontId="16" fillId="0" borderId="0" xfId="0" applyFont="1"/>
    <xf numFmtId="6" fontId="0" fillId="0" borderId="0" xfId="0" applyNumberFormat="1"/>
    <xf numFmtId="8" fontId="0" fillId="0" borderId="0" xfId="0" applyNumberFormat="1"/>
    <xf numFmtId="0" fontId="16" fillId="0" borderId="11" xfId="0" applyFont="1" applyBorder="1" applyAlignment="1">
      <alignment horizontal="left" indent="1"/>
    </xf>
    <xf numFmtId="3" fontId="0" fillId="0" borderId="11" xfId="0" applyNumberFormat="1" applyBorder="1"/>
    <xf numFmtId="0" fontId="0" fillId="0" borderId="12" xfId="0" applyBorder="1"/>
    <xf numFmtId="0" fontId="16" fillId="0" borderId="12" xfId="0" applyFont="1" applyBorder="1"/>
    <xf numFmtId="0" fontId="16" fillId="0" borderId="11" xfId="0" applyFont="1" applyBorder="1"/>
    <xf numFmtId="0" fontId="16" fillId="0" borderId="11" xfId="0" applyFont="1" applyBorder="1" applyAlignment="1">
      <alignment horizontal="left"/>
    </xf>
    <xf numFmtId="6" fontId="16" fillId="0" borderId="12" xfId="0" applyNumberFormat="1" applyFont="1" applyBorder="1"/>
    <xf numFmtId="0" fontId="0" fillId="0" borderId="0" xfId="0" applyAlignment="1">
      <alignment horizontal="left" indent="1"/>
    </xf>
    <xf numFmtId="3" fontId="0" fillId="0" borderId="12" xfId="0" applyNumberFormat="1" applyBorder="1"/>
    <xf numFmtId="3" fontId="16" fillId="0" borderId="12" xfId="0" applyNumberFormat="1" applyFont="1" applyBorder="1"/>
    <xf numFmtId="3" fontId="16" fillId="0" borderId="11" xfId="0" applyNumberFormat="1" applyFont="1" applyBorder="1"/>
    <xf numFmtId="0" fontId="16" fillId="0" borderId="12" xfId="0" applyFont="1" applyBorder="1" applyAlignment="1">
      <alignment horizontal="left" indent="2"/>
    </xf>
    <xf numFmtId="9" fontId="16" fillId="0" borderId="12" xfId="0" applyNumberFormat="1" applyFont="1" applyBorder="1"/>
    <xf numFmtId="10" fontId="16" fillId="0" borderId="12" xfId="0" applyNumberFormat="1" applyFont="1" applyBorder="1"/>
    <xf numFmtId="6" fontId="16" fillId="0" borderId="0" xfId="0" applyNumberFormat="1" applyFont="1"/>
    <xf numFmtId="3" fontId="16" fillId="0" borderId="0" xfId="0" applyNumberFormat="1" applyFont="1"/>
    <xf numFmtId="0" fontId="19" fillId="0" borderId="0" xfId="0" applyFont="1"/>
    <xf numFmtId="10" fontId="19" fillId="0" borderId="0" xfId="0" applyNumberFormat="1" applyFont="1"/>
    <xf numFmtId="164" fontId="0" fillId="0" borderId="0" xfId="0" applyNumberFormat="1"/>
    <xf numFmtId="10" fontId="0" fillId="0" borderId="13" xfId="0" applyNumberFormat="1" applyBorder="1"/>
    <xf numFmtId="9" fontId="0" fillId="0" borderId="13" xfId="0" applyNumberFormat="1" applyBorder="1"/>
    <xf numFmtId="0" fontId="0" fillId="0" borderId="0" xfId="0" applyAlignment="1">
      <alignment horizontal="left"/>
    </xf>
    <xf numFmtId="4" fontId="16" fillId="0" borderId="0" xfId="0" applyNumberFormat="1" applyFont="1"/>
    <xf numFmtId="0" fontId="0" fillId="0" borderId="14" xfId="0" applyBorder="1"/>
    <xf numFmtId="3" fontId="0" fillId="33" borderId="0" xfId="0" applyNumberFormat="1" applyFill="1"/>
    <xf numFmtId="0" fontId="0" fillId="33" borderId="0" xfId="0" applyFill="1"/>
    <xf numFmtId="3" fontId="0" fillId="33" borderId="14" xfId="0" applyNumberFormat="1" applyFill="1" applyBorder="1"/>
    <xf numFmtId="0" fontId="0" fillId="33" borderId="10" xfId="0" applyFill="1" applyBorder="1"/>
    <xf numFmtId="3" fontId="0" fillId="33" borderId="15" xfId="0" applyNumberFormat="1" applyFill="1" applyBorder="1"/>
    <xf numFmtId="3" fontId="0" fillId="33" borderId="10" xfId="0" applyNumberFormat="1" applyFill="1" applyBorder="1"/>
    <xf numFmtId="0" fontId="0" fillId="33" borderId="0" xfId="0" applyFill="1" applyBorder="1"/>
    <xf numFmtId="0" fontId="0" fillId="33" borderId="14" xfId="0" applyNumberFormat="1" applyFill="1" applyBorder="1"/>
    <xf numFmtId="0" fontId="0" fillId="33" borderId="15" xfId="0" applyNumberFormat="1" applyFill="1" applyBorder="1"/>
    <xf numFmtId="10" fontId="0" fillId="0" borderId="16" xfId="0" applyNumberFormat="1" applyBorder="1"/>
    <xf numFmtId="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AFE9-7842-4FB0-835D-226BDBF71713}">
  <dimension ref="A1:AB104857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25" sqref="L25"/>
    </sheetView>
  </sheetViews>
  <sheetFormatPr defaultRowHeight="14.5" x14ac:dyDescent="0.35"/>
  <cols>
    <col min="1" max="1" width="6.08984375" bestFit="1" customWidth="1"/>
    <col min="2" max="2" width="12.6328125" bestFit="1" customWidth="1"/>
    <col min="3" max="3" width="12.08984375" bestFit="1" customWidth="1"/>
    <col min="4" max="4" width="15.36328125" bestFit="1" customWidth="1"/>
    <col min="5" max="5" width="10.26953125" bestFit="1" customWidth="1"/>
    <col min="6" max="7" width="8.81640625" bestFit="1" customWidth="1"/>
    <col min="8" max="8" width="4.81640625" bestFit="1" customWidth="1"/>
    <col min="9" max="9" width="14.6328125" bestFit="1" customWidth="1"/>
    <col min="10" max="10" width="22.08984375" bestFit="1" customWidth="1"/>
    <col min="11" max="11" width="20.453125" bestFit="1" customWidth="1"/>
    <col min="12" max="12" width="15.26953125" bestFit="1" customWidth="1"/>
    <col min="13" max="13" width="14.6328125" bestFit="1" customWidth="1"/>
    <col min="14" max="14" width="24.08984375" bestFit="1" customWidth="1"/>
    <col min="15" max="15" width="5.453125" bestFit="1" customWidth="1"/>
    <col min="16" max="16" width="20.90625" bestFit="1" customWidth="1"/>
    <col min="17" max="17" width="22.36328125" bestFit="1" customWidth="1"/>
    <col min="18" max="18" width="10.08984375" bestFit="1" customWidth="1"/>
    <col min="19" max="19" width="33.08984375" bestFit="1" customWidth="1"/>
    <col min="20" max="20" width="32.7265625" bestFit="1" customWidth="1"/>
    <col min="21" max="21" width="18.453125" bestFit="1" customWidth="1"/>
    <col min="22" max="22" width="26.36328125" bestFit="1" customWidth="1"/>
    <col min="23" max="23" width="30.90625" bestFit="1" customWidth="1"/>
    <col min="24" max="24" width="30.54296875" bestFit="1" customWidth="1"/>
    <col min="25" max="25" width="19.81640625" bestFit="1" customWidth="1"/>
    <col min="26" max="26" width="27.7265625" bestFit="1" customWidth="1"/>
    <col min="27" max="27" width="17" bestFit="1" customWidth="1"/>
    <col min="28" max="28" width="18.453125" bestFit="1" customWidth="1"/>
  </cols>
  <sheetData>
    <row r="1" spans="1:28" x14ac:dyDescent="0.35">
      <c r="A1" t="s">
        <v>16</v>
      </c>
      <c r="B1" t="s">
        <v>86</v>
      </c>
      <c r="C1" t="s">
        <v>0</v>
      </c>
      <c r="D1" t="s">
        <v>62</v>
      </c>
      <c r="E1" t="s">
        <v>1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2</v>
      </c>
      <c r="L1" t="s">
        <v>3</v>
      </c>
      <c r="M1" t="s">
        <v>70</v>
      </c>
      <c r="N1" t="s">
        <v>69</v>
      </c>
      <c r="O1" t="s">
        <v>68</v>
      </c>
      <c r="P1" t="s">
        <v>4</v>
      </c>
      <c r="Q1" t="s">
        <v>71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</row>
    <row r="2" spans="1:28" x14ac:dyDescent="0.35">
      <c r="A2" t="s">
        <v>17</v>
      </c>
      <c r="B2" s="1">
        <v>46022</v>
      </c>
      <c r="C2">
        <v>716924</v>
      </c>
      <c r="D2">
        <v>356414</v>
      </c>
      <c r="E2">
        <v>360510</v>
      </c>
      <c r="F2">
        <v>167375</v>
      </c>
      <c r="G2">
        <v>108521</v>
      </c>
      <c r="H2">
        <v>817</v>
      </c>
      <c r="I2">
        <v>4900</v>
      </c>
      <c r="J2">
        <v>-1078</v>
      </c>
      <c r="K2">
        <v>636949</v>
      </c>
      <c r="L2">
        <v>79975</v>
      </c>
      <c r="M2">
        <v>9165</v>
      </c>
      <c r="O2">
        <v>8171</v>
      </c>
      <c r="P2">
        <v>97311</v>
      </c>
      <c r="Q2">
        <v>19087</v>
      </c>
      <c r="R2">
        <v>77670</v>
      </c>
      <c r="S2">
        <v>7.29</v>
      </c>
      <c r="T2">
        <v>7.29</v>
      </c>
      <c r="U2">
        <v>7.96</v>
      </c>
      <c r="V2">
        <v>10656</v>
      </c>
      <c r="W2">
        <v>7.17</v>
      </c>
      <c r="X2">
        <v>7.17</v>
      </c>
      <c r="Y2">
        <v>7.83</v>
      </c>
      <c r="Z2">
        <v>10827</v>
      </c>
      <c r="AB2">
        <v>1576000</v>
      </c>
    </row>
    <row r="3" spans="1:28" x14ac:dyDescent="0.35">
      <c r="A3" t="s">
        <v>17</v>
      </c>
      <c r="B3" s="1">
        <v>45657</v>
      </c>
      <c r="C3">
        <v>637959</v>
      </c>
      <c r="D3">
        <v>326288</v>
      </c>
      <c r="E3">
        <v>311671</v>
      </c>
      <c r="F3">
        <v>153771</v>
      </c>
      <c r="G3">
        <v>88544</v>
      </c>
      <c r="H3">
        <v>838</v>
      </c>
      <c r="I3">
        <v>-75</v>
      </c>
      <c r="K3">
        <v>569366</v>
      </c>
      <c r="L3">
        <v>68593</v>
      </c>
      <c r="M3">
        <v>585</v>
      </c>
      <c r="O3">
        <v>-564</v>
      </c>
      <c r="P3">
        <v>68614</v>
      </c>
      <c r="Q3">
        <v>9265</v>
      </c>
      <c r="R3">
        <v>59248</v>
      </c>
      <c r="S3">
        <v>5.66</v>
      </c>
      <c r="T3">
        <v>5.66</v>
      </c>
      <c r="U3">
        <v>5.65</v>
      </c>
      <c r="V3">
        <v>10473</v>
      </c>
      <c r="W3">
        <v>5.53</v>
      </c>
      <c r="X3">
        <v>5.53</v>
      </c>
      <c r="Y3">
        <v>5.52</v>
      </c>
      <c r="Z3">
        <v>10721</v>
      </c>
      <c r="AB3">
        <v>1556000</v>
      </c>
    </row>
    <row r="4" spans="1:28" x14ac:dyDescent="0.35">
      <c r="A4" t="s">
        <v>17</v>
      </c>
      <c r="B4" s="1">
        <v>45291</v>
      </c>
      <c r="C4">
        <v>574785</v>
      </c>
      <c r="D4">
        <v>304739</v>
      </c>
      <c r="E4">
        <v>270046</v>
      </c>
      <c r="F4">
        <v>146805</v>
      </c>
      <c r="G4">
        <v>85622</v>
      </c>
      <c r="H4">
        <v>706</v>
      </c>
      <c r="I4">
        <v>61</v>
      </c>
      <c r="K4">
        <v>537933</v>
      </c>
      <c r="L4">
        <v>36852</v>
      </c>
      <c r="M4">
        <v>816</v>
      </c>
      <c r="O4">
        <v>-111</v>
      </c>
      <c r="P4">
        <v>37557</v>
      </c>
      <c r="Q4">
        <v>7120</v>
      </c>
      <c r="R4">
        <v>30425</v>
      </c>
      <c r="S4">
        <v>2.95</v>
      </c>
      <c r="T4">
        <v>2.95</v>
      </c>
      <c r="U4">
        <v>2.96</v>
      </c>
      <c r="V4">
        <v>10304</v>
      </c>
      <c r="W4">
        <v>2.9</v>
      </c>
      <c r="X4">
        <v>2.9</v>
      </c>
      <c r="Y4">
        <v>2.9</v>
      </c>
      <c r="Z4">
        <v>10492</v>
      </c>
      <c r="AB4">
        <v>1525000</v>
      </c>
    </row>
    <row r="5" spans="1:28" x14ac:dyDescent="0.35">
      <c r="A5" t="s">
        <v>17</v>
      </c>
      <c r="B5" s="1">
        <v>44926</v>
      </c>
      <c r="C5">
        <v>513983</v>
      </c>
      <c r="D5">
        <v>288831</v>
      </c>
      <c r="E5">
        <v>225152</v>
      </c>
      <c r="F5">
        <v>138428</v>
      </c>
      <c r="G5">
        <v>73213</v>
      </c>
      <c r="H5">
        <v>604</v>
      </c>
      <c r="I5">
        <v>1100</v>
      </c>
      <c r="J5">
        <v>-441</v>
      </c>
      <c r="K5">
        <v>501735</v>
      </c>
      <c r="L5">
        <v>12248</v>
      </c>
      <c r="M5">
        <v>-15588</v>
      </c>
      <c r="O5">
        <v>-2596</v>
      </c>
      <c r="P5">
        <v>-5936</v>
      </c>
      <c r="Q5">
        <v>-3217</v>
      </c>
      <c r="R5">
        <v>-2722</v>
      </c>
      <c r="S5">
        <v>-0.27</v>
      </c>
      <c r="T5">
        <v>-0.27</v>
      </c>
      <c r="U5">
        <v>-0.2</v>
      </c>
      <c r="V5">
        <v>10189</v>
      </c>
      <c r="W5">
        <v>-0.27</v>
      </c>
      <c r="X5">
        <v>-0.27</v>
      </c>
      <c r="Y5">
        <v>-0.2</v>
      </c>
      <c r="Z5">
        <v>10189</v>
      </c>
      <c r="AB5">
        <v>1541000</v>
      </c>
    </row>
    <row r="6" spans="1:28" x14ac:dyDescent="0.35">
      <c r="A6" t="s">
        <v>17</v>
      </c>
      <c r="B6" s="1">
        <v>44561</v>
      </c>
      <c r="C6">
        <v>469822</v>
      </c>
      <c r="D6">
        <v>272344</v>
      </c>
      <c r="E6">
        <v>197478</v>
      </c>
      <c r="F6">
        <v>116485</v>
      </c>
      <c r="G6">
        <v>56052</v>
      </c>
      <c r="H6">
        <v>512</v>
      </c>
      <c r="J6">
        <v>-450</v>
      </c>
      <c r="K6">
        <v>444943</v>
      </c>
      <c r="L6">
        <v>24879</v>
      </c>
      <c r="M6">
        <v>10110</v>
      </c>
      <c r="O6">
        <v>3162</v>
      </c>
      <c r="P6">
        <v>38151</v>
      </c>
      <c r="Q6">
        <v>4791</v>
      </c>
      <c r="R6">
        <v>33364</v>
      </c>
      <c r="S6">
        <v>3.3</v>
      </c>
      <c r="T6">
        <v>3.3</v>
      </c>
      <c r="U6">
        <v>3.3</v>
      </c>
      <c r="V6">
        <v>10120</v>
      </c>
      <c r="W6">
        <v>3.24</v>
      </c>
      <c r="X6">
        <v>3.24</v>
      </c>
      <c r="Y6">
        <v>3.24</v>
      </c>
      <c r="Z6">
        <v>10300</v>
      </c>
      <c r="AB6">
        <v>1608000</v>
      </c>
    </row>
    <row r="7" spans="1:28" x14ac:dyDescent="0.35">
      <c r="A7" t="s">
        <v>17</v>
      </c>
      <c r="B7" s="1">
        <v>44196</v>
      </c>
      <c r="C7">
        <v>386064</v>
      </c>
      <c r="D7">
        <v>233307</v>
      </c>
      <c r="E7">
        <v>152757</v>
      </c>
      <c r="F7">
        <v>87193</v>
      </c>
      <c r="G7">
        <v>42740</v>
      </c>
      <c r="H7">
        <v>509</v>
      </c>
      <c r="J7">
        <v>-584</v>
      </c>
      <c r="K7">
        <v>363165</v>
      </c>
      <c r="L7">
        <v>22899</v>
      </c>
      <c r="M7">
        <v>-224</v>
      </c>
      <c r="O7">
        <v>1503</v>
      </c>
      <c r="P7">
        <v>24178</v>
      </c>
      <c r="Q7">
        <v>2863</v>
      </c>
      <c r="R7">
        <v>21331</v>
      </c>
      <c r="S7">
        <v>2.13</v>
      </c>
      <c r="T7">
        <v>2.13</v>
      </c>
      <c r="U7">
        <v>3.15</v>
      </c>
      <c r="V7">
        <v>10000</v>
      </c>
      <c r="W7">
        <v>2.09</v>
      </c>
      <c r="X7">
        <v>2.09</v>
      </c>
      <c r="Y7">
        <v>3.09</v>
      </c>
      <c r="Z7">
        <v>10200</v>
      </c>
      <c r="AB7">
        <v>1298000</v>
      </c>
    </row>
    <row r="8" spans="1:28" x14ac:dyDescent="0.35">
      <c r="A8" t="s">
        <v>17</v>
      </c>
      <c r="B8" s="1">
        <v>43830</v>
      </c>
      <c r="C8">
        <v>280522</v>
      </c>
      <c r="D8">
        <v>165536</v>
      </c>
      <c r="E8">
        <v>114986</v>
      </c>
      <c r="F8">
        <v>64313</v>
      </c>
      <c r="G8">
        <v>35931</v>
      </c>
      <c r="H8">
        <v>565</v>
      </c>
      <c r="J8">
        <v>-364</v>
      </c>
      <c r="K8">
        <v>265981</v>
      </c>
      <c r="L8">
        <v>14541</v>
      </c>
      <c r="M8">
        <v>-557</v>
      </c>
      <c r="O8">
        <v>-8</v>
      </c>
      <c r="P8">
        <v>13976</v>
      </c>
      <c r="Q8">
        <v>2374</v>
      </c>
      <c r="R8">
        <v>11588</v>
      </c>
      <c r="S8">
        <v>1.17</v>
      </c>
      <c r="T8">
        <v>1.17</v>
      </c>
      <c r="U8">
        <v>1.17</v>
      </c>
      <c r="V8">
        <v>9880</v>
      </c>
      <c r="W8">
        <v>1.1499999999999999</v>
      </c>
      <c r="X8">
        <v>1.1499999999999999</v>
      </c>
      <c r="Y8">
        <v>1.1499999999999999</v>
      </c>
      <c r="Z8">
        <v>10080</v>
      </c>
      <c r="AB8">
        <v>798000</v>
      </c>
    </row>
    <row r="9" spans="1:28" x14ac:dyDescent="0.35">
      <c r="A9" t="s">
        <v>17</v>
      </c>
      <c r="B9" s="1">
        <v>43465</v>
      </c>
      <c r="C9">
        <v>232887</v>
      </c>
      <c r="D9">
        <v>139156</v>
      </c>
      <c r="E9">
        <v>93731</v>
      </c>
      <c r="F9">
        <v>52177</v>
      </c>
      <c r="G9">
        <v>28837</v>
      </c>
      <c r="H9">
        <v>475</v>
      </c>
      <c r="J9">
        <v>-179</v>
      </c>
      <c r="K9">
        <v>220466</v>
      </c>
      <c r="L9">
        <v>12421</v>
      </c>
      <c r="M9">
        <v>-977</v>
      </c>
      <c r="O9">
        <v>-183</v>
      </c>
      <c r="P9">
        <v>11261</v>
      </c>
      <c r="Q9">
        <v>1354</v>
      </c>
      <c r="R9">
        <v>10073</v>
      </c>
      <c r="S9">
        <v>1.02</v>
      </c>
      <c r="T9">
        <v>1.03</v>
      </c>
      <c r="U9">
        <v>1.02</v>
      </c>
      <c r="V9">
        <v>9740</v>
      </c>
      <c r="W9">
        <v>0.99</v>
      </c>
      <c r="X9">
        <v>1.01</v>
      </c>
      <c r="Y9">
        <v>0.99</v>
      </c>
      <c r="Z9">
        <v>10000</v>
      </c>
      <c r="AB9">
        <v>647500</v>
      </c>
    </row>
    <row r="10" spans="1:28" x14ac:dyDescent="0.35">
      <c r="A10" t="s">
        <v>17</v>
      </c>
      <c r="B10" s="1">
        <v>43100</v>
      </c>
      <c r="C10">
        <v>177866</v>
      </c>
      <c r="D10">
        <v>111934</v>
      </c>
      <c r="E10">
        <v>65932</v>
      </c>
      <c r="F10">
        <v>38992</v>
      </c>
      <c r="G10">
        <v>22620</v>
      </c>
      <c r="H10">
        <v>366</v>
      </c>
      <c r="J10">
        <v>-152</v>
      </c>
      <c r="K10">
        <v>173760</v>
      </c>
      <c r="L10">
        <v>4106</v>
      </c>
      <c r="M10">
        <v>-406</v>
      </c>
      <c r="O10">
        <v>106</v>
      </c>
      <c r="P10">
        <v>3806</v>
      </c>
      <c r="Q10">
        <v>1558</v>
      </c>
      <c r="R10">
        <v>3033</v>
      </c>
      <c r="S10">
        <v>0.23</v>
      </c>
      <c r="T10">
        <v>0.32</v>
      </c>
      <c r="U10">
        <v>0.23</v>
      </c>
      <c r="V10">
        <v>9600</v>
      </c>
      <c r="W10">
        <v>0.23</v>
      </c>
      <c r="X10">
        <v>0.31</v>
      </c>
      <c r="Y10">
        <v>0.23</v>
      </c>
      <c r="Z10">
        <v>9860</v>
      </c>
      <c r="AB10">
        <v>566000</v>
      </c>
    </row>
    <row r="11" spans="1:28" x14ac:dyDescent="0.35">
      <c r="A11" t="s">
        <v>17</v>
      </c>
      <c r="B11" s="1">
        <v>42735</v>
      </c>
      <c r="C11">
        <v>135987</v>
      </c>
      <c r="D11">
        <v>88265</v>
      </c>
      <c r="E11">
        <v>47722</v>
      </c>
      <c r="F11">
        <v>27284</v>
      </c>
      <c r="G11">
        <v>16085</v>
      </c>
      <c r="H11">
        <v>287</v>
      </c>
      <c r="J11">
        <v>-120</v>
      </c>
      <c r="K11">
        <v>131801</v>
      </c>
      <c r="L11">
        <v>4186</v>
      </c>
      <c r="M11">
        <v>-371</v>
      </c>
      <c r="O11">
        <v>77</v>
      </c>
      <c r="P11">
        <v>3892</v>
      </c>
      <c r="Q11">
        <v>1425</v>
      </c>
      <c r="R11">
        <v>2371</v>
      </c>
      <c r="S11">
        <v>0.25</v>
      </c>
      <c r="T11">
        <v>0.25</v>
      </c>
      <c r="U11">
        <v>0.25</v>
      </c>
      <c r="V11">
        <v>9480</v>
      </c>
      <c r="W11">
        <v>0.24</v>
      </c>
      <c r="X11">
        <v>0.24</v>
      </c>
      <c r="Y11">
        <v>0.24</v>
      </c>
      <c r="Z11">
        <v>9680</v>
      </c>
      <c r="AA11">
        <v>0</v>
      </c>
      <c r="AB11">
        <v>341400</v>
      </c>
    </row>
    <row r="12" spans="1:28" x14ac:dyDescent="0.35">
      <c r="A12" t="s">
        <v>17</v>
      </c>
      <c r="B12" s="1">
        <v>42369</v>
      </c>
      <c r="C12">
        <v>107006</v>
      </c>
      <c r="D12">
        <v>71651</v>
      </c>
      <c r="E12">
        <v>35355</v>
      </c>
      <c r="F12">
        <v>20411</v>
      </c>
      <c r="G12">
        <v>12540</v>
      </c>
      <c r="H12">
        <v>228</v>
      </c>
      <c r="J12">
        <v>-57</v>
      </c>
      <c r="K12">
        <v>104773</v>
      </c>
      <c r="L12">
        <v>2233</v>
      </c>
      <c r="M12">
        <v>-680</v>
      </c>
      <c r="O12">
        <v>15</v>
      </c>
      <c r="P12">
        <v>1568</v>
      </c>
      <c r="Q12">
        <v>950</v>
      </c>
      <c r="R12">
        <v>596</v>
      </c>
      <c r="S12">
        <v>0.06</v>
      </c>
      <c r="T12">
        <v>0.06</v>
      </c>
      <c r="U12">
        <v>0.06</v>
      </c>
      <c r="V12">
        <v>9340</v>
      </c>
      <c r="W12">
        <v>0.06</v>
      </c>
      <c r="X12">
        <v>0.06</v>
      </c>
      <c r="Y12">
        <v>0.06</v>
      </c>
      <c r="Z12">
        <v>9540</v>
      </c>
      <c r="AB12">
        <v>230800</v>
      </c>
    </row>
    <row r="13" spans="1:28" x14ac:dyDescent="0.35">
      <c r="A13" t="s">
        <v>17</v>
      </c>
      <c r="B13" s="1">
        <v>42004</v>
      </c>
      <c r="C13">
        <v>88988</v>
      </c>
      <c r="D13">
        <v>62752</v>
      </c>
      <c r="E13">
        <v>26236</v>
      </c>
      <c r="F13">
        <v>16650</v>
      </c>
      <c r="G13">
        <v>9275</v>
      </c>
      <c r="H13">
        <v>181</v>
      </c>
      <c r="J13">
        <v>-48</v>
      </c>
      <c r="K13">
        <v>88810</v>
      </c>
      <c r="L13">
        <v>178</v>
      </c>
      <c r="M13">
        <v>-295</v>
      </c>
      <c r="O13">
        <v>6</v>
      </c>
      <c r="P13">
        <v>-111</v>
      </c>
      <c r="Q13">
        <v>167</v>
      </c>
      <c r="R13">
        <v>-241</v>
      </c>
      <c r="S13">
        <v>-0.03</v>
      </c>
      <c r="T13">
        <v>-0.03</v>
      </c>
      <c r="U13">
        <v>-0.03</v>
      </c>
      <c r="V13">
        <v>9240</v>
      </c>
      <c r="W13">
        <v>-0.03</v>
      </c>
      <c r="X13">
        <v>-0.03</v>
      </c>
      <c r="Y13">
        <v>-0.03</v>
      </c>
      <c r="Z13">
        <v>9240</v>
      </c>
      <c r="AB13">
        <v>154100</v>
      </c>
    </row>
    <row r="14" spans="1:28" x14ac:dyDescent="0.35">
      <c r="A14" t="s">
        <v>17</v>
      </c>
      <c r="B14" s="1">
        <v>41639</v>
      </c>
      <c r="C14">
        <v>74452</v>
      </c>
      <c r="D14">
        <v>54181</v>
      </c>
      <c r="E14">
        <v>20271</v>
      </c>
      <c r="F14">
        <v>12847</v>
      </c>
      <c r="G14">
        <v>6565</v>
      </c>
      <c r="H14">
        <v>168</v>
      </c>
      <c r="J14">
        <v>-54</v>
      </c>
      <c r="K14">
        <v>73707</v>
      </c>
      <c r="L14">
        <v>745</v>
      </c>
      <c r="M14">
        <v>-241</v>
      </c>
      <c r="O14">
        <v>2</v>
      </c>
      <c r="P14">
        <v>506</v>
      </c>
      <c r="Q14">
        <v>161</v>
      </c>
      <c r="R14">
        <v>274</v>
      </c>
      <c r="S14">
        <v>0.03</v>
      </c>
      <c r="T14">
        <v>0.03</v>
      </c>
      <c r="U14">
        <v>0.03</v>
      </c>
      <c r="V14">
        <v>9140</v>
      </c>
      <c r="W14">
        <v>0.03</v>
      </c>
      <c r="X14">
        <v>0.03</v>
      </c>
      <c r="Y14">
        <v>0.03</v>
      </c>
      <c r="Z14">
        <v>9300</v>
      </c>
      <c r="AA14">
        <v>0</v>
      </c>
      <c r="AB14">
        <v>117300</v>
      </c>
    </row>
    <row r="15" spans="1:28" x14ac:dyDescent="0.35">
      <c r="A15" t="s">
        <v>17</v>
      </c>
      <c r="B15" s="1">
        <v>41274</v>
      </c>
      <c r="C15">
        <v>61093</v>
      </c>
      <c r="D15">
        <v>45971</v>
      </c>
      <c r="E15">
        <v>15122</v>
      </c>
      <c r="F15">
        <v>9723</v>
      </c>
      <c r="G15">
        <v>4564</v>
      </c>
      <c r="J15">
        <v>159</v>
      </c>
      <c r="K15">
        <v>60417</v>
      </c>
      <c r="L15">
        <v>676</v>
      </c>
      <c r="M15">
        <v>-137</v>
      </c>
      <c r="O15">
        <v>5</v>
      </c>
      <c r="P15">
        <v>544</v>
      </c>
      <c r="Q15">
        <v>428</v>
      </c>
      <c r="R15">
        <v>-39</v>
      </c>
      <c r="S15">
        <v>0</v>
      </c>
      <c r="T15">
        <v>0</v>
      </c>
      <c r="U15">
        <v>0</v>
      </c>
      <c r="V15">
        <v>9060</v>
      </c>
      <c r="W15">
        <v>0</v>
      </c>
      <c r="X15">
        <v>0</v>
      </c>
      <c r="Y15">
        <v>0</v>
      </c>
      <c r="Z15">
        <v>9060</v>
      </c>
      <c r="AA15">
        <v>0</v>
      </c>
      <c r="AB15">
        <v>88400</v>
      </c>
    </row>
    <row r="16" spans="1:28" x14ac:dyDescent="0.35">
      <c r="A16" t="s">
        <v>17</v>
      </c>
      <c r="B16" s="1">
        <v>40908</v>
      </c>
      <c r="C16">
        <v>48077</v>
      </c>
      <c r="D16">
        <v>37288</v>
      </c>
      <c r="E16">
        <v>10789</v>
      </c>
      <c r="F16">
        <v>6864</v>
      </c>
      <c r="G16">
        <v>2909</v>
      </c>
      <c r="J16">
        <v>154</v>
      </c>
      <c r="K16">
        <v>47215</v>
      </c>
      <c r="L16">
        <v>862</v>
      </c>
      <c r="M16">
        <v>64</v>
      </c>
      <c r="O16">
        <v>8</v>
      </c>
      <c r="P16">
        <v>934</v>
      </c>
      <c r="Q16">
        <v>291</v>
      </c>
      <c r="R16">
        <v>631</v>
      </c>
      <c r="S16">
        <v>7.0000000000000007E-2</v>
      </c>
      <c r="T16">
        <v>7.0000000000000007E-2</v>
      </c>
      <c r="U16">
        <v>7.0000000000000007E-2</v>
      </c>
      <c r="V16">
        <v>9060</v>
      </c>
      <c r="W16">
        <v>7.0000000000000007E-2</v>
      </c>
      <c r="X16">
        <v>7.0000000000000007E-2</v>
      </c>
      <c r="Y16">
        <v>7.0000000000000007E-2</v>
      </c>
      <c r="Z16">
        <v>9220</v>
      </c>
      <c r="AA16">
        <v>0</v>
      </c>
      <c r="AB16">
        <v>56200</v>
      </c>
    </row>
    <row r="17" spans="1:28" x14ac:dyDescent="0.35">
      <c r="A17" t="s">
        <v>17</v>
      </c>
      <c r="B17" s="1">
        <v>40543</v>
      </c>
      <c r="C17">
        <v>34204</v>
      </c>
      <c r="D17">
        <v>26561</v>
      </c>
      <c r="E17">
        <v>7643</v>
      </c>
      <c r="F17">
        <v>4397</v>
      </c>
      <c r="G17">
        <v>1734</v>
      </c>
      <c r="J17">
        <v>106</v>
      </c>
      <c r="K17">
        <v>32798</v>
      </c>
      <c r="L17">
        <v>1406</v>
      </c>
      <c r="M17">
        <v>88</v>
      </c>
      <c r="O17">
        <v>3</v>
      </c>
      <c r="P17">
        <v>1497</v>
      </c>
      <c r="Q17">
        <v>352</v>
      </c>
      <c r="R17">
        <v>1152</v>
      </c>
      <c r="S17">
        <v>0.13</v>
      </c>
      <c r="T17">
        <v>0.13</v>
      </c>
      <c r="U17">
        <v>0.13</v>
      </c>
      <c r="V17">
        <v>8940</v>
      </c>
      <c r="W17">
        <v>0.13</v>
      </c>
      <c r="X17">
        <v>0.13</v>
      </c>
      <c r="Y17">
        <v>0.13</v>
      </c>
      <c r="Z17">
        <v>9120</v>
      </c>
      <c r="AA17">
        <v>0</v>
      </c>
      <c r="AB17">
        <v>33700</v>
      </c>
    </row>
    <row r="18" spans="1:28" x14ac:dyDescent="0.35">
      <c r="A18" t="s">
        <v>17</v>
      </c>
      <c r="B18" s="1">
        <v>40178</v>
      </c>
      <c r="C18">
        <v>24509</v>
      </c>
      <c r="D18">
        <v>18978</v>
      </c>
      <c r="E18">
        <v>5531</v>
      </c>
      <c r="F18">
        <v>3060</v>
      </c>
      <c r="G18">
        <v>1240</v>
      </c>
      <c r="J18">
        <v>102</v>
      </c>
      <c r="K18">
        <v>23380</v>
      </c>
      <c r="L18">
        <v>1129</v>
      </c>
      <c r="M18">
        <v>33</v>
      </c>
      <c r="O18">
        <v>-1</v>
      </c>
      <c r="P18">
        <v>1161</v>
      </c>
      <c r="Q18">
        <v>253</v>
      </c>
      <c r="R18">
        <v>902</v>
      </c>
      <c r="S18">
        <v>0.1</v>
      </c>
      <c r="T18">
        <v>0.1</v>
      </c>
      <c r="U18">
        <v>0.1</v>
      </c>
      <c r="V18">
        <v>8660</v>
      </c>
      <c r="W18">
        <v>0.1</v>
      </c>
      <c r="X18">
        <v>0.1</v>
      </c>
      <c r="Y18">
        <v>0.1</v>
      </c>
      <c r="Z18">
        <v>8840</v>
      </c>
      <c r="AA18">
        <v>0</v>
      </c>
      <c r="AB18">
        <v>24300</v>
      </c>
    </row>
    <row r="19" spans="1:28" x14ac:dyDescent="0.35">
      <c r="A19" t="s">
        <v>17</v>
      </c>
      <c r="B19" s="1">
        <v>39813</v>
      </c>
      <c r="C19">
        <v>19166</v>
      </c>
      <c r="D19">
        <v>14896</v>
      </c>
      <c r="E19">
        <v>4270</v>
      </c>
      <c r="F19">
        <v>2419</v>
      </c>
      <c r="G19">
        <v>1033</v>
      </c>
      <c r="J19">
        <v>-24</v>
      </c>
      <c r="K19">
        <v>18324</v>
      </c>
      <c r="L19">
        <v>842</v>
      </c>
      <c r="M19">
        <v>50</v>
      </c>
      <c r="O19">
        <v>9</v>
      </c>
      <c r="P19">
        <v>901</v>
      </c>
      <c r="Q19">
        <v>247</v>
      </c>
      <c r="R19">
        <v>645</v>
      </c>
      <c r="S19">
        <v>0.08</v>
      </c>
      <c r="T19">
        <v>0.08</v>
      </c>
      <c r="U19">
        <v>0.08</v>
      </c>
      <c r="V19">
        <v>8460</v>
      </c>
      <c r="W19">
        <v>7.0000000000000007E-2</v>
      </c>
      <c r="X19">
        <v>7.0000000000000007E-2</v>
      </c>
      <c r="Y19">
        <v>7.0000000000000007E-2</v>
      </c>
      <c r="Z19">
        <v>8640</v>
      </c>
      <c r="AA19">
        <v>0</v>
      </c>
      <c r="AB19">
        <v>20700</v>
      </c>
    </row>
    <row r="20" spans="1:28" x14ac:dyDescent="0.35">
      <c r="A20" t="s">
        <v>17</v>
      </c>
      <c r="B20" s="1">
        <v>39447</v>
      </c>
      <c r="C20">
        <v>14835</v>
      </c>
      <c r="D20">
        <v>11482</v>
      </c>
      <c r="E20">
        <v>3353</v>
      </c>
      <c r="F20">
        <v>1871</v>
      </c>
      <c r="G20">
        <v>818</v>
      </c>
      <c r="J20">
        <v>9</v>
      </c>
      <c r="K20">
        <v>14180</v>
      </c>
      <c r="L20">
        <v>655</v>
      </c>
      <c r="M20">
        <v>12</v>
      </c>
      <c r="O20">
        <v>-7</v>
      </c>
      <c r="P20">
        <v>660</v>
      </c>
      <c r="Q20">
        <v>184</v>
      </c>
      <c r="R20">
        <v>476</v>
      </c>
      <c r="S20">
        <v>0.06</v>
      </c>
      <c r="T20">
        <v>0.06</v>
      </c>
      <c r="U20">
        <v>0.06</v>
      </c>
      <c r="V20">
        <v>8260</v>
      </c>
      <c r="W20">
        <v>0.06</v>
      </c>
      <c r="X20">
        <v>0.06</v>
      </c>
      <c r="Y20">
        <v>0.06</v>
      </c>
      <c r="Z20">
        <v>8480</v>
      </c>
      <c r="AA20">
        <v>0</v>
      </c>
      <c r="AB20">
        <v>17000</v>
      </c>
    </row>
    <row r="21" spans="1:28" x14ac:dyDescent="0.35">
      <c r="A21" t="s">
        <v>17</v>
      </c>
      <c r="B21" s="1">
        <v>39082</v>
      </c>
      <c r="C21">
        <v>10711</v>
      </c>
      <c r="D21">
        <v>8255</v>
      </c>
      <c r="E21">
        <v>2456</v>
      </c>
      <c r="F21">
        <v>1395</v>
      </c>
      <c r="G21">
        <v>662</v>
      </c>
      <c r="J21">
        <v>10</v>
      </c>
      <c r="K21">
        <v>10322</v>
      </c>
      <c r="L21">
        <v>389</v>
      </c>
      <c r="M21">
        <v>-6</v>
      </c>
      <c r="O21">
        <v>-6</v>
      </c>
      <c r="P21">
        <v>377</v>
      </c>
      <c r="Q21">
        <v>187</v>
      </c>
      <c r="R21">
        <v>190</v>
      </c>
      <c r="S21">
        <v>0.02</v>
      </c>
      <c r="T21">
        <v>0.02</v>
      </c>
      <c r="U21">
        <v>0.02</v>
      </c>
      <c r="V21">
        <v>8320</v>
      </c>
      <c r="W21">
        <v>0.02</v>
      </c>
      <c r="X21">
        <v>0.02</v>
      </c>
      <c r="Y21">
        <v>0.02</v>
      </c>
      <c r="Z21">
        <v>8480</v>
      </c>
      <c r="AA21">
        <v>0</v>
      </c>
      <c r="AB21">
        <v>13900</v>
      </c>
    </row>
    <row r="22" spans="1:28" x14ac:dyDescent="0.35">
      <c r="A22" t="s">
        <v>58</v>
      </c>
      <c r="B22" s="1">
        <v>46022</v>
      </c>
      <c r="C22">
        <v>281724</v>
      </c>
      <c r="D22">
        <v>87831</v>
      </c>
      <c r="E22">
        <v>193893</v>
      </c>
      <c r="F22">
        <v>32877</v>
      </c>
      <c r="G22">
        <v>32488</v>
      </c>
      <c r="I22">
        <v>943</v>
      </c>
      <c r="K22">
        <v>154139</v>
      </c>
      <c r="L22">
        <v>127585</v>
      </c>
      <c r="M22">
        <v>767</v>
      </c>
      <c r="O22">
        <v>-4725</v>
      </c>
      <c r="P22">
        <v>123627</v>
      </c>
      <c r="Q22">
        <v>21795</v>
      </c>
      <c r="R22">
        <v>101832</v>
      </c>
      <c r="S22">
        <v>13.7</v>
      </c>
      <c r="T22">
        <v>13.7</v>
      </c>
      <c r="U22">
        <v>13.8</v>
      </c>
      <c r="V22">
        <v>7433</v>
      </c>
      <c r="W22">
        <v>13.64</v>
      </c>
      <c r="X22">
        <v>13.64</v>
      </c>
      <c r="Y22">
        <v>13.75</v>
      </c>
      <c r="Z22">
        <v>7465</v>
      </c>
      <c r="AA22">
        <v>3.32</v>
      </c>
      <c r="AB22">
        <v>228000</v>
      </c>
    </row>
    <row r="23" spans="1:28" x14ac:dyDescent="0.35">
      <c r="A23" t="s">
        <v>58</v>
      </c>
      <c r="B23" s="1">
        <v>45657</v>
      </c>
      <c r="C23">
        <v>245122</v>
      </c>
      <c r="D23">
        <v>74114</v>
      </c>
      <c r="E23">
        <v>171008</v>
      </c>
      <c r="F23">
        <v>32065</v>
      </c>
      <c r="G23">
        <v>29510</v>
      </c>
      <c r="I23">
        <v>206</v>
      </c>
      <c r="K23">
        <v>135895</v>
      </c>
      <c r="L23">
        <v>109227</v>
      </c>
      <c r="M23">
        <v>-121</v>
      </c>
      <c r="O23">
        <v>-1319</v>
      </c>
      <c r="P23">
        <v>107787</v>
      </c>
      <c r="Q23">
        <v>19651</v>
      </c>
      <c r="R23">
        <v>88136</v>
      </c>
      <c r="S23">
        <v>11.86</v>
      </c>
      <c r="T23">
        <v>11.86</v>
      </c>
      <c r="U23">
        <v>11.88</v>
      </c>
      <c r="V23">
        <v>7431</v>
      </c>
      <c r="W23">
        <v>11.8</v>
      </c>
      <c r="X23">
        <v>11.8</v>
      </c>
      <c r="Y23">
        <v>11.82</v>
      </c>
      <c r="Z23">
        <v>7469</v>
      </c>
      <c r="AA23">
        <v>3</v>
      </c>
      <c r="AB23">
        <v>228000</v>
      </c>
    </row>
    <row r="24" spans="1:28" x14ac:dyDescent="0.35">
      <c r="A24" t="s">
        <v>58</v>
      </c>
      <c r="B24" s="1">
        <v>45291</v>
      </c>
      <c r="C24">
        <v>211915</v>
      </c>
      <c r="D24">
        <v>65863</v>
      </c>
      <c r="E24">
        <v>146052</v>
      </c>
      <c r="F24">
        <v>29163</v>
      </c>
      <c r="G24">
        <v>27195</v>
      </c>
      <c r="I24">
        <v>1201</v>
      </c>
      <c r="K24">
        <v>123422</v>
      </c>
      <c r="L24">
        <v>88493</v>
      </c>
      <c r="M24">
        <v>1041</v>
      </c>
      <c r="O24">
        <v>-223</v>
      </c>
      <c r="P24">
        <v>89311</v>
      </c>
      <c r="Q24">
        <v>16950</v>
      </c>
      <c r="R24">
        <v>72361</v>
      </c>
      <c r="S24">
        <v>9.7200000000000006</v>
      </c>
      <c r="T24">
        <v>9.7200000000000006</v>
      </c>
      <c r="U24">
        <v>9.85</v>
      </c>
      <c r="V24">
        <v>7446</v>
      </c>
      <c r="W24">
        <v>9.68</v>
      </c>
      <c r="X24">
        <v>9.68</v>
      </c>
      <c r="Y24">
        <v>9.81</v>
      </c>
      <c r="Z24">
        <v>7472</v>
      </c>
      <c r="AA24">
        <v>2.72</v>
      </c>
      <c r="AB24">
        <v>221000</v>
      </c>
    </row>
    <row r="25" spans="1:28" x14ac:dyDescent="0.35">
      <c r="A25" t="s">
        <v>58</v>
      </c>
      <c r="B25" s="1">
        <v>44926</v>
      </c>
      <c r="C25">
        <v>198270</v>
      </c>
      <c r="D25">
        <v>62650</v>
      </c>
      <c r="E25">
        <v>135620</v>
      </c>
      <c r="F25">
        <v>27725</v>
      </c>
      <c r="G25">
        <v>24512</v>
      </c>
      <c r="I25">
        <v>101</v>
      </c>
      <c r="K25">
        <v>114988</v>
      </c>
      <c r="L25">
        <v>83282</v>
      </c>
      <c r="M25">
        <v>466</v>
      </c>
      <c r="O25">
        <v>-32</v>
      </c>
      <c r="P25">
        <v>83716</v>
      </c>
      <c r="Q25">
        <v>10978</v>
      </c>
      <c r="R25">
        <v>72738</v>
      </c>
      <c r="S25">
        <v>9.6999999999999993</v>
      </c>
      <c r="T25">
        <v>9.6999999999999993</v>
      </c>
      <c r="U25">
        <v>9.7200000000000006</v>
      </c>
      <c r="V25">
        <v>7496</v>
      </c>
      <c r="W25">
        <v>9.65</v>
      </c>
      <c r="X25">
        <v>9.65</v>
      </c>
      <c r="Y25">
        <v>9.66</v>
      </c>
      <c r="Z25">
        <v>7540</v>
      </c>
      <c r="AA25">
        <v>2.42</v>
      </c>
      <c r="AB25">
        <v>221000</v>
      </c>
    </row>
    <row r="26" spans="1:28" x14ac:dyDescent="0.35">
      <c r="A26" t="s">
        <v>58</v>
      </c>
      <c r="B26" s="1">
        <v>44561</v>
      </c>
      <c r="C26">
        <v>168088</v>
      </c>
      <c r="D26">
        <v>52232</v>
      </c>
      <c r="E26">
        <v>115856</v>
      </c>
      <c r="F26">
        <v>25224</v>
      </c>
      <c r="G26">
        <v>20716</v>
      </c>
      <c r="I26">
        <v>13</v>
      </c>
      <c r="K26">
        <v>98185</v>
      </c>
      <c r="L26">
        <v>69903</v>
      </c>
      <c r="M26">
        <v>1101</v>
      </c>
      <c r="O26">
        <v>98</v>
      </c>
      <c r="P26">
        <v>71102</v>
      </c>
      <c r="Q26">
        <v>9831</v>
      </c>
      <c r="R26">
        <v>61271</v>
      </c>
      <c r="S26">
        <v>8.1199999999999992</v>
      </c>
      <c r="T26">
        <v>8.1199999999999992</v>
      </c>
      <c r="U26">
        <v>8.1199999999999992</v>
      </c>
      <c r="V26">
        <v>7547</v>
      </c>
      <c r="W26">
        <v>8.0500000000000007</v>
      </c>
      <c r="X26">
        <v>8.0500000000000007</v>
      </c>
      <c r="Y26">
        <v>8.0500000000000007</v>
      </c>
      <c r="Z26">
        <v>7608</v>
      </c>
      <c r="AA26">
        <v>2.2400000000000002</v>
      </c>
      <c r="AB26">
        <v>181000</v>
      </c>
    </row>
    <row r="27" spans="1:28" x14ac:dyDescent="0.35">
      <c r="A27" t="s">
        <v>58</v>
      </c>
      <c r="B27" s="1">
        <v>44196</v>
      </c>
      <c r="C27">
        <v>143015</v>
      </c>
      <c r="D27">
        <v>46078</v>
      </c>
      <c r="E27">
        <v>96937</v>
      </c>
      <c r="F27">
        <v>24709</v>
      </c>
      <c r="G27">
        <v>19269</v>
      </c>
      <c r="I27">
        <v>133</v>
      </c>
      <c r="K27">
        <v>90189</v>
      </c>
      <c r="L27">
        <v>52826</v>
      </c>
      <c r="M27">
        <v>250</v>
      </c>
      <c r="O27">
        <v>-40</v>
      </c>
      <c r="P27">
        <v>53036</v>
      </c>
      <c r="Q27">
        <v>8755</v>
      </c>
      <c r="R27">
        <v>44281</v>
      </c>
      <c r="S27">
        <v>5.82</v>
      </c>
      <c r="T27">
        <v>5.82</v>
      </c>
      <c r="U27">
        <v>5.85</v>
      </c>
      <c r="V27">
        <v>7610</v>
      </c>
      <c r="W27">
        <v>5.76</v>
      </c>
      <c r="X27">
        <v>5.76</v>
      </c>
      <c r="Y27">
        <v>5.8</v>
      </c>
      <c r="Z27">
        <v>7683</v>
      </c>
      <c r="AA27">
        <v>1.53</v>
      </c>
      <c r="AB27">
        <v>163000</v>
      </c>
    </row>
    <row r="28" spans="1:28" x14ac:dyDescent="0.35">
      <c r="A28" t="s">
        <v>58</v>
      </c>
      <c r="B28" s="1">
        <v>43830</v>
      </c>
      <c r="C28">
        <v>125843</v>
      </c>
      <c r="D28">
        <v>42910</v>
      </c>
      <c r="E28">
        <v>82933</v>
      </c>
      <c r="F28">
        <v>23098</v>
      </c>
      <c r="G28">
        <v>16876</v>
      </c>
      <c r="I28">
        <v>26</v>
      </c>
      <c r="K28">
        <v>82910</v>
      </c>
      <c r="L28">
        <v>42933</v>
      </c>
      <c r="M28">
        <v>812</v>
      </c>
      <c r="O28">
        <v>-57</v>
      </c>
      <c r="P28">
        <v>43688</v>
      </c>
      <c r="Q28">
        <v>4291</v>
      </c>
      <c r="R28">
        <v>39240</v>
      </c>
      <c r="S28">
        <v>5.13</v>
      </c>
      <c r="T28">
        <v>5.1100000000000003</v>
      </c>
      <c r="U28">
        <v>5.14</v>
      </c>
      <c r="V28">
        <v>7673</v>
      </c>
      <c r="W28">
        <v>5.08</v>
      </c>
      <c r="X28">
        <v>5.0599999999999996</v>
      </c>
      <c r="Y28">
        <v>5.08</v>
      </c>
      <c r="Z28">
        <v>7753</v>
      </c>
      <c r="AA28">
        <v>1.8</v>
      </c>
      <c r="AB28">
        <v>144000</v>
      </c>
    </row>
    <row r="29" spans="1:28" x14ac:dyDescent="0.35">
      <c r="A29" t="s">
        <v>58</v>
      </c>
      <c r="B29" s="1">
        <v>43465</v>
      </c>
      <c r="C29">
        <v>110360</v>
      </c>
      <c r="D29">
        <v>38353</v>
      </c>
      <c r="E29">
        <v>72007</v>
      </c>
      <c r="F29">
        <v>22223</v>
      </c>
      <c r="G29">
        <v>14726</v>
      </c>
      <c r="I29">
        <v>47</v>
      </c>
      <c r="K29">
        <v>75349</v>
      </c>
      <c r="L29">
        <v>35011</v>
      </c>
      <c r="M29">
        <v>1522</v>
      </c>
      <c r="O29">
        <v>-59</v>
      </c>
      <c r="P29">
        <v>36474</v>
      </c>
      <c r="Q29">
        <v>6203</v>
      </c>
      <c r="R29">
        <v>16571</v>
      </c>
      <c r="S29">
        <v>3.93</v>
      </c>
      <c r="T29">
        <v>2.15</v>
      </c>
      <c r="U29">
        <v>3.94</v>
      </c>
      <c r="V29">
        <v>7700</v>
      </c>
      <c r="W29">
        <v>3.88</v>
      </c>
      <c r="X29">
        <v>2.13</v>
      </c>
      <c r="Y29">
        <v>3.89</v>
      </c>
      <c r="Z29">
        <v>7794</v>
      </c>
      <c r="AA29">
        <v>1.65</v>
      </c>
      <c r="AB29">
        <v>131000</v>
      </c>
    </row>
    <row r="30" spans="1:28" x14ac:dyDescent="0.35">
      <c r="A30" t="s">
        <v>58</v>
      </c>
      <c r="B30" s="1">
        <v>43100</v>
      </c>
      <c r="C30">
        <v>96571</v>
      </c>
      <c r="D30">
        <v>34261</v>
      </c>
      <c r="E30">
        <v>62310</v>
      </c>
      <c r="F30">
        <v>18648</v>
      </c>
      <c r="G30">
        <v>12292</v>
      </c>
      <c r="I30">
        <v>2400</v>
      </c>
      <c r="K30">
        <v>67601</v>
      </c>
      <c r="L30">
        <v>28970</v>
      </c>
      <c r="M30">
        <v>1182</v>
      </c>
      <c r="O30">
        <v>-251</v>
      </c>
      <c r="P30">
        <v>29901</v>
      </c>
      <c r="Q30">
        <v>4412</v>
      </c>
      <c r="R30">
        <v>25489</v>
      </c>
      <c r="S30">
        <v>3.29</v>
      </c>
      <c r="T30">
        <v>3.29</v>
      </c>
      <c r="U30">
        <v>3.66</v>
      </c>
      <c r="V30">
        <v>7746</v>
      </c>
      <c r="W30">
        <v>3.25</v>
      </c>
      <c r="X30">
        <v>3.25</v>
      </c>
      <c r="Y30">
        <v>3.62</v>
      </c>
      <c r="Z30">
        <v>7832</v>
      </c>
      <c r="AA30">
        <v>1.53</v>
      </c>
    </row>
    <row r="31" spans="1:28" x14ac:dyDescent="0.35">
      <c r="A31" t="s">
        <v>58</v>
      </c>
      <c r="B31" s="1">
        <v>42735</v>
      </c>
      <c r="C31">
        <v>91154</v>
      </c>
      <c r="D31">
        <v>32780</v>
      </c>
      <c r="E31">
        <v>58374</v>
      </c>
      <c r="F31">
        <v>19198</v>
      </c>
      <c r="G31">
        <v>11988</v>
      </c>
      <c r="I31">
        <v>1432</v>
      </c>
      <c r="K31">
        <v>65398</v>
      </c>
      <c r="L31">
        <v>25756</v>
      </c>
      <c r="M31">
        <v>78</v>
      </c>
      <c r="O31">
        <v>-195</v>
      </c>
      <c r="P31">
        <v>25639</v>
      </c>
      <c r="Q31">
        <v>5100</v>
      </c>
      <c r="R31">
        <v>20539</v>
      </c>
      <c r="S31">
        <v>2.59</v>
      </c>
      <c r="T31">
        <v>2.59</v>
      </c>
      <c r="U31">
        <v>2.74</v>
      </c>
      <c r="V31">
        <v>7925</v>
      </c>
      <c r="W31">
        <v>2.56</v>
      </c>
      <c r="X31">
        <v>2.56</v>
      </c>
      <c r="Y31">
        <v>2.71</v>
      </c>
      <c r="Z31">
        <v>8013</v>
      </c>
      <c r="AA31">
        <v>1.39</v>
      </c>
    </row>
    <row r="32" spans="1:28" x14ac:dyDescent="0.35">
      <c r="A32" t="s">
        <v>58</v>
      </c>
      <c r="B32" s="1">
        <v>42369</v>
      </c>
      <c r="C32">
        <v>93580</v>
      </c>
      <c r="D32">
        <v>33038</v>
      </c>
      <c r="E32">
        <v>60542</v>
      </c>
      <c r="F32">
        <v>20324</v>
      </c>
      <c r="G32">
        <v>12046</v>
      </c>
      <c r="I32">
        <v>10194</v>
      </c>
      <c r="K32">
        <v>75602</v>
      </c>
      <c r="L32">
        <v>17978</v>
      </c>
      <c r="M32">
        <v>796</v>
      </c>
      <c r="O32">
        <v>-267</v>
      </c>
      <c r="P32">
        <v>18507</v>
      </c>
      <c r="Q32">
        <v>6314</v>
      </c>
      <c r="R32">
        <v>12193</v>
      </c>
      <c r="S32">
        <v>1.49</v>
      </c>
      <c r="T32">
        <v>1.49</v>
      </c>
      <c r="U32">
        <v>2.31</v>
      </c>
      <c r="V32">
        <v>8177</v>
      </c>
      <c r="W32">
        <v>1.48</v>
      </c>
      <c r="X32">
        <v>1.48</v>
      </c>
      <c r="Y32">
        <v>2.29</v>
      </c>
      <c r="Z32">
        <v>8254</v>
      </c>
      <c r="AA32">
        <v>1.21</v>
      </c>
      <c r="AB32">
        <v>118000</v>
      </c>
    </row>
    <row r="33" spans="1:28" x14ac:dyDescent="0.35">
      <c r="A33" t="s">
        <v>58</v>
      </c>
      <c r="B33" s="1">
        <v>42004</v>
      </c>
      <c r="C33">
        <v>86833</v>
      </c>
      <c r="D33">
        <v>26934</v>
      </c>
      <c r="E33">
        <v>59899</v>
      </c>
      <c r="F33">
        <v>20632</v>
      </c>
      <c r="G33">
        <v>11381</v>
      </c>
      <c r="I33">
        <v>233</v>
      </c>
      <c r="K33">
        <v>59180</v>
      </c>
      <c r="L33">
        <v>27653</v>
      </c>
      <c r="M33">
        <v>336</v>
      </c>
      <c r="O33">
        <v>-169</v>
      </c>
      <c r="P33">
        <v>27820</v>
      </c>
      <c r="Q33">
        <v>5746</v>
      </c>
      <c r="R33">
        <v>22074</v>
      </c>
      <c r="S33">
        <v>2.66</v>
      </c>
      <c r="T33">
        <v>2.66</v>
      </c>
      <c r="U33">
        <v>2.68</v>
      </c>
      <c r="V33">
        <v>8299</v>
      </c>
      <c r="W33">
        <v>2.63</v>
      </c>
      <c r="X33">
        <v>2.63</v>
      </c>
      <c r="Y33">
        <v>2.65</v>
      </c>
      <c r="Z33">
        <v>8399</v>
      </c>
      <c r="AA33">
        <v>1.07</v>
      </c>
      <c r="AB33">
        <v>128000</v>
      </c>
    </row>
    <row r="34" spans="1:28" x14ac:dyDescent="0.35">
      <c r="A34" t="s">
        <v>58</v>
      </c>
      <c r="B34" s="1">
        <v>41639</v>
      </c>
      <c r="C34">
        <v>77849</v>
      </c>
      <c r="D34">
        <v>20249</v>
      </c>
      <c r="E34">
        <v>57600</v>
      </c>
      <c r="F34">
        <v>20425</v>
      </c>
      <c r="G34">
        <v>10411</v>
      </c>
      <c r="I34">
        <v>208</v>
      </c>
      <c r="K34">
        <v>51293</v>
      </c>
      <c r="L34">
        <v>26556</v>
      </c>
      <c r="M34">
        <v>302</v>
      </c>
      <c r="O34">
        <v>194</v>
      </c>
      <c r="P34">
        <v>27052</v>
      </c>
      <c r="Q34">
        <v>5189</v>
      </c>
      <c r="R34">
        <v>21863</v>
      </c>
      <c r="S34">
        <v>2.61</v>
      </c>
      <c r="T34">
        <v>2.61</v>
      </c>
      <c r="U34">
        <v>2.63</v>
      </c>
      <c r="V34">
        <v>8375</v>
      </c>
      <c r="W34">
        <v>2.58</v>
      </c>
      <c r="X34">
        <v>2.58</v>
      </c>
      <c r="Y34">
        <v>2.6</v>
      </c>
      <c r="Z34">
        <v>8470</v>
      </c>
      <c r="AA34">
        <v>0.89</v>
      </c>
      <c r="AB34">
        <v>99000</v>
      </c>
    </row>
    <row r="35" spans="1:28" x14ac:dyDescent="0.35">
      <c r="A35" t="s">
        <v>58</v>
      </c>
      <c r="B35" s="1">
        <v>41274</v>
      </c>
      <c r="C35">
        <v>73723</v>
      </c>
      <c r="D35">
        <v>17530</v>
      </c>
      <c r="E35">
        <v>56193</v>
      </c>
      <c r="F35">
        <v>18426</v>
      </c>
      <c r="G35">
        <v>9811</v>
      </c>
      <c r="I35">
        <v>6193</v>
      </c>
      <c r="K35">
        <v>51960</v>
      </c>
      <c r="L35">
        <v>21763</v>
      </c>
      <c r="M35">
        <v>205</v>
      </c>
      <c r="O35">
        <v>299</v>
      </c>
      <c r="P35">
        <v>22267</v>
      </c>
      <c r="Q35">
        <v>5289</v>
      </c>
      <c r="R35">
        <v>16978</v>
      </c>
      <c r="S35">
        <v>2.02</v>
      </c>
      <c r="T35">
        <v>2.02</v>
      </c>
      <c r="U35">
        <v>2.58</v>
      </c>
      <c r="V35">
        <v>8396</v>
      </c>
      <c r="W35">
        <v>2</v>
      </c>
      <c r="X35">
        <v>2</v>
      </c>
      <c r="Y35">
        <v>2.5499999999999998</v>
      </c>
      <c r="Z35">
        <v>8506</v>
      </c>
      <c r="AA35">
        <v>0.8</v>
      </c>
      <c r="AB35">
        <v>94000</v>
      </c>
    </row>
    <row r="36" spans="1:28" x14ac:dyDescent="0.35">
      <c r="A36" t="s">
        <v>58</v>
      </c>
      <c r="B36" s="1">
        <v>40908</v>
      </c>
      <c r="C36">
        <v>69943</v>
      </c>
      <c r="D36">
        <v>15577</v>
      </c>
      <c r="E36">
        <v>54366</v>
      </c>
      <c r="F36">
        <v>18162</v>
      </c>
      <c r="G36">
        <v>9043</v>
      </c>
      <c r="I36">
        <v>0</v>
      </c>
      <c r="K36">
        <v>42782</v>
      </c>
      <c r="L36">
        <v>27161</v>
      </c>
      <c r="M36">
        <v>861</v>
      </c>
      <c r="O36">
        <v>49</v>
      </c>
      <c r="P36">
        <v>28071</v>
      </c>
      <c r="Q36">
        <v>4921</v>
      </c>
      <c r="R36">
        <v>23150</v>
      </c>
      <c r="S36">
        <v>2.73</v>
      </c>
      <c r="T36">
        <v>2.73</v>
      </c>
      <c r="U36">
        <v>2.73</v>
      </c>
      <c r="V36">
        <v>8490</v>
      </c>
      <c r="W36">
        <v>2.69</v>
      </c>
      <c r="X36">
        <v>2.69</v>
      </c>
      <c r="Y36">
        <v>2.69</v>
      </c>
      <c r="Z36">
        <v>8593</v>
      </c>
      <c r="AA36">
        <v>0.64</v>
      </c>
      <c r="AB36">
        <v>90000</v>
      </c>
    </row>
    <row r="37" spans="1:28" x14ac:dyDescent="0.35">
      <c r="A37" t="s">
        <v>58</v>
      </c>
      <c r="B37" s="1">
        <v>40543</v>
      </c>
      <c r="C37">
        <v>62484</v>
      </c>
      <c r="D37">
        <v>12395</v>
      </c>
      <c r="E37">
        <v>50089</v>
      </c>
      <c r="F37">
        <v>17218</v>
      </c>
      <c r="G37">
        <v>8714</v>
      </c>
      <c r="I37">
        <v>59</v>
      </c>
      <c r="K37">
        <v>38386</v>
      </c>
      <c r="L37">
        <v>24098</v>
      </c>
      <c r="M37">
        <v>832</v>
      </c>
      <c r="O37">
        <v>83</v>
      </c>
      <c r="P37">
        <v>25013</v>
      </c>
      <c r="Q37">
        <v>6253</v>
      </c>
      <c r="R37">
        <v>18760</v>
      </c>
      <c r="S37">
        <v>2.13</v>
      </c>
      <c r="T37">
        <v>2.13</v>
      </c>
      <c r="U37">
        <v>2.14</v>
      </c>
      <c r="V37">
        <v>8813</v>
      </c>
      <c r="W37">
        <v>2.1</v>
      </c>
      <c r="X37">
        <v>2.1</v>
      </c>
      <c r="Y37">
        <v>2.12</v>
      </c>
      <c r="Z37">
        <v>8927</v>
      </c>
      <c r="AA37">
        <v>0.52</v>
      </c>
      <c r="AB37">
        <v>89000</v>
      </c>
    </row>
    <row r="38" spans="1:28" x14ac:dyDescent="0.35">
      <c r="A38" t="s">
        <v>58</v>
      </c>
      <c r="B38" s="1">
        <v>40178</v>
      </c>
      <c r="C38">
        <v>58437</v>
      </c>
      <c r="D38">
        <v>12155</v>
      </c>
      <c r="E38">
        <v>46282</v>
      </c>
      <c r="F38">
        <v>16579</v>
      </c>
      <c r="G38">
        <v>9010</v>
      </c>
      <c r="I38">
        <v>-532</v>
      </c>
      <c r="K38">
        <v>37212</v>
      </c>
      <c r="L38">
        <v>21225</v>
      </c>
      <c r="M38">
        <v>-1348</v>
      </c>
      <c r="O38">
        <v>-56</v>
      </c>
      <c r="P38">
        <v>19821</v>
      </c>
      <c r="Q38">
        <v>5252</v>
      </c>
      <c r="R38">
        <v>14569</v>
      </c>
      <c r="S38">
        <v>1.63</v>
      </c>
      <c r="T38">
        <v>1.63</v>
      </c>
      <c r="U38">
        <v>1.59</v>
      </c>
      <c r="V38">
        <v>8945</v>
      </c>
      <c r="W38">
        <v>1.62</v>
      </c>
      <c r="X38">
        <v>1.62</v>
      </c>
      <c r="Y38">
        <v>1.58</v>
      </c>
      <c r="Z38">
        <v>8996</v>
      </c>
      <c r="AA38">
        <v>0.52</v>
      </c>
      <c r="AB38">
        <v>93000</v>
      </c>
    </row>
    <row r="39" spans="1:28" x14ac:dyDescent="0.35">
      <c r="A39" t="s">
        <v>58</v>
      </c>
      <c r="B39" s="1">
        <v>39813</v>
      </c>
      <c r="C39">
        <v>60420</v>
      </c>
      <c r="D39">
        <v>11598</v>
      </c>
      <c r="E39">
        <v>48822</v>
      </c>
      <c r="F39">
        <v>16366</v>
      </c>
      <c r="G39">
        <v>8164</v>
      </c>
      <c r="I39">
        <v>1800</v>
      </c>
      <c r="K39">
        <v>37928</v>
      </c>
      <c r="L39">
        <v>22492</v>
      </c>
      <c r="M39">
        <v>1772</v>
      </c>
      <c r="O39">
        <v>-450</v>
      </c>
      <c r="P39">
        <v>23814</v>
      </c>
      <c r="Q39">
        <v>6133</v>
      </c>
      <c r="R39">
        <v>17681</v>
      </c>
      <c r="S39">
        <v>1.9</v>
      </c>
      <c r="T39">
        <v>1.9</v>
      </c>
      <c r="U39">
        <v>2.04</v>
      </c>
      <c r="V39">
        <v>9328</v>
      </c>
      <c r="W39">
        <v>1.87</v>
      </c>
      <c r="X39">
        <v>1.87</v>
      </c>
      <c r="Y39">
        <v>2.0099999999999998</v>
      </c>
      <c r="Z39">
        <v>9470</v>
      </c>
      <c r="AA39">
        <v>0.44</v>
      </c>
      <c r="AB39">
        <v>91000</v>
      </c>
    </row>
    <row r="40" spans="1:28" x14ac:dyDescent="0.35">
      <c r="A40" t="s">
        <v>58</v>
      </c>
      <c r="B40" s="1">
        <v>39447</v>
      </c>
      <c r="C40">
        <v>51122</v>
      </c>
      <c r="D40">
        <v>10693</v>
      </c>
      <c r="E40">
        <v>40429</v>
      </c>
      <c r="F40">
        <v>14273</v>
      </c>
      <c r="G40">
        <v>7121</v>
      </c>
      <c r="I40">
        <v>511</v>
      </c>
      <c r="K40">
        <v>32598</v>
      </c>
      <c r="L40">
        <v>18524</v>
      </c>
      <c r="M40">
        <v>1636</v>
      </c>
      <c r="O40">
        <v>-59</v>
      </c>
      <c r="P40">
        <v>20101</v>
      </c>
      <c r="Q40">
        <v>6036</v>
      </c>
      <c r="R40">
        <v>14065</v>
      </c>
      <c r="S40">
        <v>1.44</v>
      </c>
      <c r="T40">
        <v>1.44</v>
      </c>
      <c r="U40">
        <v>1.48</v>
      </c>
      <c r="V40">
        <v>9742</v>
      </c>
      <c r="W40">
        <v>1.42</v>
      </c>
      <c r="X40">
        <v>1.42</v>
      </c>
      <c r="Y40">
        <v>1.46</v>
      </c>
      <c r="Z40">
        <v>9886</v>
      </c>
      <c r="AA40">
        <v>0.4</v>
      </c>
      <c r="AB40">
        <v>79000</v>
      </c>
    </row>
    <row r="41" spans="1:28" x14ac:dyDescent="0.35">
      <c r="A41" t="s">
        <v>58</v>
      </c>
      <c r="B41" s="1">
        <v>39082</v>
      </c>
      <c r="C41">
        <v>44282</v>
      </c>
      <c r="D41">
        <v>7650</v>
      </c>
      <c r="E41">
        <v>36632</v>
      </c>
      <c r="F41">
        <v>12256</v>
      </c>
      <c r="G41">
        <v>6584</v>
      </c>
      <c r="I41">
        <v>1320</v>
      </c>
      <c r="K41">
        <v>27810</v>
      </c>
      <c r="L41">
        <v>16472</v>
      </c>
      <c r="M41">
        <v>2198</v>
      </c>
      <c r="O41">
        <v>-408</v>
      </c>
      <c r="P41">
        <v>18262</v>
      </c>
      <c r="Q41">
        <v>5663</v>
      </c>
      <c r="R41">
        <v>12599</v>
      </c>
      <c r="S41">
        <v>1.21</v>
      </c>
      <c r="T41">
        <v>1.21</v>
      </c>
      <c r="U41">
        <v>1.29</v>
      </c>
      <c r="V41">
        <v>10438</v>
      </c>
      <c r="W41">
        <v>1.2</v>
      </c>
      <c r="X41">
        <v>1.2</v>
      </c>
      <c r="Y41">
        <v>1.28</v>
      </c>
      <c r="Z41">
        <v>10531</v>
      </c>
      <c r="AA41">
        <v>0.35</v>
      </c>
      <c r="AB41">
        <v>71000</v>
      </c>
    </row>
    <row r="42" spans="1:28" x14ac:dyDescent="0.35">
      <c r="A42" t="s">
        <v>59</v>
      </c>
      <c r="B42" s="1">
        <v>46022</v>
      </c>
      <c r="C42">
        <v>402836</v>
      </c>
      <c r="D42">
        <v>162535</v>
      </c>
      <c r="E42">
        <v>240301</v>
      </c>
      <c r="F42">
        <v>43975</v>
      </c>
      <c r="G42">
        <v>58687</v>
      </c>
      <c r="H42">
        <v>2400</v>
      </c>
      <c r="I42">
        <v>6200</v>
      </c>
      <c r="K42">
        <v>273797</v>
      </c>
      <c r="L42">
        <v>129039</v>
      </c>
      <c r="M42">
        <v>28120</v>
      </c>
      <c r="O42">
        <v>1667</v>
      </c>
      <c r="P42">
        <v>158826</v>
      </c>
      <c r="Q42">
        <v>26656</v>
      </c>
      <c r="R42">
        <v>132170</v>
      </c>
      <c r="S42">
        <v>10.91</v>
      </c>
      <c r="T42">
        <v>10.91</v>
      </c>
      <c r="U42">
        <v>11.33</v>
      </c>
      <c r="V42">
        <v>12116</v>
      </c>
      <c r="W42">
        <v>10.81</v>
      </c>
      <c r="X42">
        <v>10.81</v>
      </c>
      <c r="Y42">
        <v>11.23</v>
      </c>
      <c r="Z42">
        <v>12230</v>
      </c>
      <c r="AA42">
        <v>0.83</v>
      </c>
      <c r="AB42">
        <v>190820</v>
      </c>
    </row>
    <row r="43" spans="1:28" x14ac:dyDescent="0.35">
      <c r="A43" t="s">
        <v>59</v>
      </c>
      <c r="B43" s="1">
        <v>45657</v>
      </c>
      <c r="C43">
        <v>350018</v>
      </c>
      <c r="D43">
        <v>146306</v>
      </c>
      <c r="E43">
        <v>203712</v>
      </c>
      <c r="F43">
        <v>40696</v>
      </c>
      <c r="G43">
        <v>48789</v>
      </c>
      <c r="I43">
        <v>1837</v>
      </c>
      <c r="K43">
        <v>237628</v>
      </c>
      <c r="L43">
        <v>112390</v>
      </c>
      <c r="M43">
        <v>6288</v>
      </c>
      <c r="O43">
        <v>1137</v>
      </c>
      <c r="P43">
        <v>119815</v>
      </c>
      <c r="Q43">
        <v>16997</v>
      </c>
      <c r="R43">
        <v>100118</v>
      </c>
      <c r="S43">
        <v>8.35</v>
      </c>
      <c r="T43">
        <v>8.1300000000000008</v>
      </c>
      <c r="U43">
        <v>8.4700000000000006</v>
      </c>
      <c r="V43">
        <v>12319</v>
      </c>
      <c r="W43">
        <v>8.26</v>
      </c>
      <c r="X43">
        <v>8.0399999999999991</v>
      </c>
      <c r="Y43">
        <v>8.39</v>
      </c>
      <c r="Z43">
        <v>12447</v>
      </c>
      <c r="AA43">
        <v>0.6</v>
      </c>
      <c r="AB43">
        <v>183323</v>
      </c>
    </row>
    <row r="44" spans="1:28" x14ac:dyDescent="0.35">
      <c r="A44" t="s">
        <v>59</v>
      </c>
      <c r="B44" s="1">
        <v>45291</v>
      </c>
      <c r="C44">
        <v>307394</v>
      </c>
      <c r="D44">
        <v>132372</v>
      </c>
      <c r="E44">
        <v>175022</v>
      </c>
      <c r="F44">
        <v>43087</v>
      </c>
      <c r="G44">
        <v>43709</v>
      </c>
      <c r="I44">
        <v>3933</v>
      </c>
      <c r="K44">
        <v>223101</v>
      </c>
      <c r="L44">
        <v>84293</v>
      </c>
      <c r="M44">
        <v>868</v>
      </c>
      <c r="O44">
        <v>556</v>
      </c>
      <c r="P44">
        <v>85717</v>
      </c>
      <c r="Q44">
        <v>9822</v>
      </c>
      <c r="R44">
        <v>73795</v>
      </c>
      <c r="S44">
        <v>6.01</v>
      </c>
      <c r="T44">
        <v>5.84</v>
      </c>
      <c r="U44">
        <v>6.28</v>
      </c>
      <c r="V44">
        <v>12630</v>
      </c>
      <c r="W44">
        <v>5.97</v>
      </c>
      <c r="X44">
        <v>5.8</v>
      </c>
      <c r="Y44">
        <v>6.24</v>
      </c>
      <c r="Z44">
        <v>12722</v>
      </c>
      <c r="AB44">
        <v>182502</v>
      </c>
    </row>
    <row r="45" spans="1:28" x14ac:dyDescent="0.35">
      <c r="A45" t="s">
        <v>59</v>
      </c>
      <c r="B45" s="1">
        <v>44926</v>
      </c>
      <c r="C45">
        <v>282836</v>
      </c>
      <c r="D45">
        <v>126203</v>
      </c>
      <c r="E45">
        <v>156633</v>
      </c>
      <c r="F45">
        <v>42291</v>
      </c>
      <c r="G45">
        <v>39500</v>
      </c>
      <c r="K45">
        <v>207994</v>
      </c>
      <c r="L45">
        <v>74842</v>
      </c>
      <c r="M45">
        <v>-4693</v>
      </c>
      <c r="O45">
        <v>1179</v>
      </c>
      <c r="P45">
        <v>71328</v>
      </c>
      <c r="Q45">
        <v>9756</v>
      </c>
      <c r="R45">
        <v>59972</v>
      </c>
      <c r="S45">
        <v>4.71</v>
      </c>
      <c r="T45">
        <v>4.59</v>
      </c>
      <c r="U45">
        <v>4.71</v>
      </c>
      <c r="V45">
        <v>13063</v>
      </c>
      <c r="W45">
        <v>4.68</v>
      </c>
      <c r="X45">
        <v>4.5599999999999996</v>
      </c>
      <c r="Y45">
        <v>4.68</v>
      </c>
      <c r="Z45">
        <v>13159</v>
      </c>
      <c r="AB45">
        <v>190234</v>
      </c>
    </row>
    <row r="46" spans="1:28" x14ac:dyDescent="0.35">
      <c r="A46" t="s">
        <v>59</v>
      </c>
      <c r="B46" s="1">
        <v>44561</v>
      </c>
      <c r="C46">
        <v>257637</v>
      </c>
      <c r="D46">
        <v>110939</v>
      </c>
      <c r="E46">
        <v>146698</v>
      </c>
      <c r="F46">
        <v>36422</v>
      </c>
      <c r="G46">
        <v>31562</v>
      </c>
      <c r="I46">
        <v>0</v>
      </c>
      <c r="K46">
        <v>178923</v>
      </c>
      <c r="L46">
        <v>78714</v>
      </c>
      <c r="M46">
        <v>13517</v>
      </c>
      <c r="O46">
        <v>-1497</v>
      </c>
      <c r="P46">
        <v>90734</v>
      </c>
      <c r="Q46">
        <v>14701</v>
      </c>
      <c r="R46">
        <v>76033</v>
      </c>
      <c r="S46">
        <v>5.69</v>
      </c>
      <c r="T46">
        <v>5.69</v>
      </c>
      <c r="U46">
        <v>5.69</v>
      </c>
      <c r="V46">
        <v>13353</v>
      </c>
      <c r="W46">
        <v>5.61</v>
      </c>
      <c r="X46">
        <v>5.61</v>
      </c>
      <c r="Y46">
        <v>5.61</v>
      </c>
      <c r="Z46">
        <v>13553</v>
      </c>
      <c r="AB46">
        <v>156500</v>
      </c>
    </row>
    <row r="47" spans="1:28" x14ac:dyDescent="0.35">
      <c r="A47" t="s">
        <v>59</v>
      </c>
      <c r="B47" s="1">
        <v>44196</v>
      </c>
      <c r="C47">
        <v>182527</v>
      </c>
      <c r="D47">
        <v>84732</v>
      </c>
      <c r="E47">
        <v>97795</v>
      </c>
      <c r="F47">
        <v>28998</v>
      </c>
      <c r="G47">
        <v>27573</v>
      </c>
      <c r="I47">
        <v>0</v>
      </c>
      <c r="K47">
        <v>141303</v>
      </c>
      <c r="L47">
        <v>41224</v>
      </c>
      <c r="M47">
        <v>8104</v>
      </c>
      <c r="O47">
        <v>-1246</v>
      </c>
      <c r="P47">
        <v>48082</v>
      </c>
      <c r="Q47">
        <v>7813</v>
      </c>
      <c r="R47">
        <v>40269</v>
      </c>
      <c r="S47">
        <v>2.96</v>
      </c>
      <c r="T47">
        <v>2.96</v>
      </c>
      <c r="U47">
        <v>2.96</v>
      </c>
      <c r="V47">
        <v>13616</v>
      </c>
      <c r="W47">
        <v>2.93</v>
      </c>
      <c r="X47">
        <v>2.93</v>
      </c>
      <c r="Y47">
        <v>2.93</v>
      </c>
      <c r="Z47">
        <v>13741</v>
      </c>
      <c r="AB47">
        <v>135301</v>
      </c>
    </row>
    <row r="48" spans="1:28" x14ac:dyDescent="0.35">
      <c r="A48" t="s">
        <v>59</v>
      </c>
      <c r="B48" s="1">
        <v>43830</v>
      </c>
      <c r="C48">
        <v>161857</v>
      </c>
      <c r="D48">
        <v>71896</v>
      </c>
      <c r="E48">
        <v>89961</v>
      </c>
      <c r="F48">
        <v>28015</v>
      </c>
      <c r="G48">
        <v>26018</v>
      </c>
      <c r="I48">
        <v>1697</v>
      </c>
      <c r="K48">
        <v>127626</v>
      </c>
      <c r="L48">
        <v>34231</v>
      </c>
      <c r="M48">
        <v>5473</v>
      </c>
      <c r="O48">
        <v>-79</v>
      </c>
      <c r="P48">
        <v>39625</v>
      </c>
      <c r="Q48">
        <v>5282</v>
      </c>
      <c r="R48">
        <v>34343</v>
      </c>
      <c r="S48">
        <v>2.48</v>
      </c>
      <c r="T48">
        <v>2.48</v>
      </c>
      <c r="U48">
        <v>2.59</v>
      </c>
      <c r="V48">
        <v>13852</v>
      </c>
      <c r="W48">
        <v>2.46</v>
      </c>
      <c r="X48">
        <v>2.46</v>
      </c>
      <c r="Y48">
        <v>2.56</v>
      </c>
      <c r="Z48">
        <v>13971</v>
      </c>
      <c r="AB48">
        <v>118899</v>
      </c>
    </row>
    <row r="49" spans="1:28" x14ac:dyDescent="0.35">
      <c r="A49" t="s">
        <v>59</v>
      </c>
      <c r="B49" s="1">
        <v>43465</v>
      </c>
      <c r="C49">
        <v>136819</v>
      </c>
      <c r="D49">
        <v>59549</v>
      </c>
      <c r="E49">
        <v>77270</v>
      </c>
      <c r="F49">
        <v>24459</v>
      </c>
      <c r="G49">
        <v>21419</v>
      </c>
      <c r="I49">
        <v>5071</v>
      </c>
      <c r="K49">
        <v>110498</v>
      </c>
      <c r="L49">
        <v>26321</v>
      </c>
      <c r="M49">
        <v>8383</v>
      </c>
      <c r="O49">
        <v>209</v>
      </c>
      <c r="P49">
        <v>34913</v>
      </c>
      <c r="Q49">
        <v>4177</v>
      </c>
      <c r="R49">
        <v>30736</v>
      </c>
      <c r="S49">
        <v>2.21</v>
      </c>
      <c r="T49">
        <v>2.21</v>
      </c>
      <c r="U49">
        <v>2.5299999999999998</v>
      </c>
      <c r="V49">
        <v>13903</v>
      </c>
      <c r="W49">
        <v>2.19</v>
      </c>
      <c r="X49">
        <v>2.19</v>
      </c>
      <c r="Y49">
        <v>2.5</v>
      </c>
      <c r="Z49">
        <v>14066</v>
      </c>
      <c r="AB49">
        <v>98771</v>
      </c>
    </row>
    <row r="50" spans="1:28" x14ac:dyDescent="0.35">
      <c r="A50" t="s">
        <v>59</v>
      </c>
      <c r="B50" s="1">
        <v>43100</v>
      </c>
      <c r="C50">
        <v>110855</v>
      </c>
      <c r="D50">
        <v>45583</v>
      </c>
      <c r="E50">
        <v>65272</v>
      </c>
      <c r="F50">
        <v>19765</v>
      </c>
      <c r="G50">
        <v>16625</v>
      </c>
      <c r="I50">
        <v>2736</v>
      </c>
      <c r="K50">
        <v>84709</v>
      </c>
      <c r="L50">
        <v>26146</v>
      </c>
      <c r="M50">
        <v>764</v>
      </c>
      <c r="O50">
        <v>283</v>
      </c>
      <c r="P50">
        <v>27193</v>
      </c>
      <c r="Q50">
        <v>4707</v>
      </c>
      <c r="R50">
        <v>12662</v>
      </c>
      <c r="S50">
        <v>1.62</v>
      </c>
      <c r="T50">
        <v>0.91</v>
      </c>
      <c r="U50">
        <v>1.79</v>
      </c>
      <c r="V50">
        <v>13858</v>
      </c>
      <c r="W50">
        <v>1.6</v>
      </c>
      <c r="X50">
        <v>0.9</v>
      </c>
      <c r="Y50">
        <v>1.76</v>
      </c>
      <c r="Z50">
        <v>14072</v>
      </c>
      <c r="AB50">
        <v>80110</v>
      </c>
    </row>
    <row r="51" spans="1:28" x14ac:dyDescent="0.35">
      <c r="A51" t="s">
        <v>59</v>
      </c>
      <c r="B51" s="1">
        <v>42735</v>
      </c>
      <c r="C51">
        <v>90272</v>
      </c>
      <c r="D51">
        <v>35138</v>
      </c>
      <c r="E51">
        <v>55134</v>
      </c>
      <c r="F51">
        <v>17470</v>
      </c>
      <c r="G51">
        <v>13948</v>
      </c>
      <c r="K51">
        <v>66556</v>
      </c>
      <c r="L51">
        <v>23716</v>
      </c>
      <c r="M51">
        <v>90</v>
      </c>
      <c r="O51">
        <v>344</v>
      </c>
      <c r="P51">
        <v>24150</v>
      </c>
      <c r="Q51">
        <v>4672</v>
      </c>
      <c r="R51">
        <v>19478</v>
      </c>
      <c r="S51">
        <v>1.42</v>
      </c>
      <c r="T51">
        <v>1.42</v>
      </c>
      <c r="U51">
        <v>1.42</v>
      </c>
      <c r="V51">
        <v>13756</v>
      </c>
      <c r="W51">
        <v>1.39</v>
      </c>
      <c r="X51">
        <v>1.39</v>
      </c>
      <c r="Y51">
        <v>1.39</v>
      </c>
      <c r="Z51">
        <v>13974</v>
      </c>
      <c r="AA51">
        <v>0</v>
      </c>
      <c r="AB51">
        <v>72053</v>
      </c>
    </row>
    <row r="52" spans="1:28" x14ac:dyDescent="0.35">
      <c r="A52" t="s">
        <v>59</v>
      </c>
      <c r="B52" s="1">
        <v>42369</v>
      </c>
      <c r="C52">
        <v>74989</v>
      </c>
      <c r="D52">
        <v>28164</v>
      </c>
      <c r="E52">
        <v>46825</v>
      </c>
      <c r="F52">
        <v>15183</v>
      </c>
      <c r="G52">
        <v>12282</v>
      </c>
      <c r="K52">
        <v>55629</v>
      </c>
      <c r="L52">
        <v>19360</v>
      </c>
      <c r="M52">
        <v>35</v>
      </c>
      <c r="N52">
        <v>0</v>
      </c>
      <c r="O52">
        <v>256</v>
      </c>
      <c r="P52">
        <v>19651</v>
      </c>
      <c r="Q52">
        <v>3303</v>
      </c>
      <c r="R52">
        <v>16348</v>
      </c>
      <c r="S52">
        <v>1.1599999999999999</v>
      </c>
      <c r="T52">
        <v>1.1599999999999999</v>
      </c>
      <c r="U52">
        <v>1.1599999999999999</v>
      </c>
      <c r="V52">
        <v>13693</v>
      </c>
      <c r="W52">
        <v>1.1399999999999999</v>
      </c>
      <c r="X52">
        <v>1.1399999999999999</v>
      </c>
      <c r="Y52">
        <v>1.1399999999999999</v>
      </c>
      <c r="Z52">
        <v>13859</v>
      </c>
      <c r="AA52">
        <v>0</v>
      </c>
      <c r="AB52">
        <v>61814</v>
      </c>
    </row>
    <row r="53" spans="1:28" x14ac:dyDescent="0.35">
      <c r="A53" t="s">
        <v>59</v>
      </c>
      <c r="B53" s="1">
        <v>42004</v>
      </c>
      <c r="C53">
        <v>66001</v>
      </c>
      <c r="D53">
        <v>25313</v>
      </c>
      <c r="E53">
        <v>40688</v>
      </c>
      <c r="F53">
        <v>13982</v>
      </c>
      <c r="G53">
        <v>9832</v>
      </c>
      <c r="I53">
        <v>378</v>
      </c>
      <c r="K53">
        <v>49505</v>
      </c>
      <c r="L53">
        <v>16496</v>
      </c>
      <c r="M53">
        <v>585</v>
      </c>
      <c r="N53">
        <v>0</v>
      </c>
      <c r="O53">
        <v>178</v>
      </c>
      <c r="P53">
        <v>17259</v>
      </c>
      <c r="Q53">
        <v>3639</v>
      </c>
      <c r="R53">
        <v>14136</v>
      </c>
      <c r="S53">
        <v>1.01</v>
      </c>
      <c r="T53">
        <v>1.05</v>
      </c>
      <c r="U53">
        <v>1.03</v>
      </c>
      <c r="V53">
        <v>13519</v>
      </c>
      <c r="W53">
        <v>0.99</v>
      </c>
      <c r="X53">
        <v>1.03</v>
      </c>
      <c r="Y53">
        <v>1.01</v>
      </c>
      <c r="Z53">
        <v>13741</v>
      </c>
      <c r="AA53">
        <v>0</v>
      </c>
      <c r="AB53">
        <v>53600</v>
      </c>
    </row>
    <row r="54" spans="1:28" x14ac:dyDescent="0.35">
      <c r="A54" t="s">
        <v>59</v>
      </c>
      <c r="B54" s="1">
        <v>41639</v>
      </c>
      <c r="C54">
        <v>55519</v>
      </c>
      <c r="D54">
        <v>21993</v>
      </c>
      <c r="E54">
        <v>33526</v>
      </c>
      <c r="F54">
        <v>10986</v>
      </c>
      <c r="G54">
        <v>7137</v>
      </c>
      <c r="K54">
        <v>40116</v>
      </c>
      <c r="L54">
        <v>15403</v>
      </c>
      <c r="M54">
        <v>305</v>
      </c>
      <c r="N54">
        <v>-57</v>
      </c>
      <c r="O54">
        <v>248</v>
      </c>
      <c r="P54">
        <v>15899</v>
      </c>
      <c r="Q54">
        <v>2739</v>
      </c>
      <c r="R54">
        <v>12733</v>
      </c>
      <c r="S54">
        <v>0.99</v>
      </c>
      <c r="T54">
        <v>0.96</v>
      </c>
      <c r="U54">
        <v>0.99</v>
      </c>
      <c r="V54">
        <v>13314</v>
      </c>
      <c r="W54">
        <v>0.89</v>
      </c>
      <c r="X54">
        <v>0.86</v>
      </c>
      <c r="Y54">
        <v>0.9</v>
      </c>
      <c r="Z54">
        <v>14739</v>
      </c>
      <c r="AA54">
        <v>0</v>
      </c>
    </row>
    <row r="55" spans="1:28" x14ac:dyDescent="0.35">
      <c r="A55" t="s">
        <v>59</v>
      </c>
      <c r="B55" s="1">
        <v>41274</v>
      </c>
      <c r="C55">
        <v>46039</v>
      </c>
      <c r="D55">
        <v>17176</v>
      </c>
      <c r="E55">
        <v>28863</v>
      </c>
      <c r="F55">
        <v>8946</v>
      </c>
      <c r="G55">
        <v>6083</v>
      </c>
      <c r="K55">
        <v>32205</v>
      </c>
      <c r="L55">
        <v>13834</v>
      </c>
      <c r="M55">
        <v>-145</v>
      </c>
      <c r="N55">
        <v>188</v>
      </c>
      <c r="O55">
        <v>592</v>
      </c>
      <c r="P55">
        <v>14469</v>
      </c>
      <c r="Q55">
        <v>2916</v>
      </c>
      <c r="R55">
        <v>10737</v>
      </c>
      <c r="S55">
        <v>0.88</v>
      </c>
      <c r="T55">
        <v>0.82</v>
      </c>
      <c r="U55">
        <v>0.87</v>
      </c>
      <c r="V55">
        <v>13089</v>
      </c>
      <c r="W55">
        <v>0.87</v>
      </c>
      <c r="X55">
        <v>0.81</v>
      </c>
      <c r="Y55">
        <v>0.86</v>
      </c>
      <c r="Z55">
        <v>13292</v>
      </c>
      <c r="AA55">
        <v>0</v>
      </c>
    </row>
    <row r="56" spans="1:28" x14ac:dyDescent="0.35">
      <c r="A56" t="s">
        <v>59</v>
      </c>
      <c r="B56" s="1">
        <v>40908</v>
      </c>
      <c r="C56">
        <v>37905</v>
      </c>
      <c r="D56">
        <v>13188</v>
      </c>
      <c r="E56">
        <v>24717</v>
      </c>
      <c r="F56">
        <v>7313</v>
      </c>
      <c r="G56">
        <v>5162</v>
      </c>
      <c r="I56">
        <v>610</v>
      </c>
      <c r="K56">
        <v>26273</v>
      </c>
      <c r="L56">
        <v>11632</v>
      </c>
      <c r="M56">
        <v>629</v>
      </c>
      <c r="N56">
        <v>0</v>
      </c>
      <c r="O56">
        <v>65</v>
      </c>
      <c r="P56">
        <v>12326</v>
      </c>
      <c r="Q56">
        <v>2589</v>
      </c>
      <c r="R56">
        <v>9737</v>
      </c>
      <c r="S56">
        <v>0.75</v>
      </c>
      <c r="T56">
        <v>0.75</v>
      </c>
      <c r="U56">
        <v>0.79</v>
      </c>
      <c r="V56">
        <v>12911</v>
      </c>
      <c r="W56">
        <v>0.74</v>
      </c>
      <c r="X56">
        <v>0.74</v>
      </c>
      <c r="Y56">
        <v>0.78</v>
      </c>
      <c r="Z56">
        <v>13089</v>
      </c>
      <c r="AA56">
        <v>0</v>
      </c>
      <c r="AB56">
        <v>32467</v>
      </c>
    </row>
    <row r="57" spans="1:28" x14ac:dyDescent="0.35">
      <c r="A57" t="s">
        <v>59</v>
      </c>
      <c r="B57" s="1">
        <v>40543</v>
      </c>
      <c r="C57">
        <v>29321</v>
      </c>
      <c r="D57">
        <v>10417</v>
      </c>
      <c r="E57">
        <v>18904</v>
      </c>
      <c r="F57">
        <v>4761</v>
      </c>
      <c r="G57">
        <v>3762</v>
      </c>
      <c r="I57">
        <v>0</v>
      </c>
      <c r="K57">
        <v>18940</v>
      </c>
      <c r="L57">
        <v>10381</v>
      </c>
      <c r="M57">
        <v>404</v>
      </c>
      <c r="N57">
        <v>0</v>
      </c>
      <c r="O57">
        <v>11</v>
      </c>
      <c r="P57">
        <v>10796</v>
      </c>
      <c r="Q57">
        <v>2291</v>
      </c>
      <c r="R57">
        <v>8505</v>
      </c>
      <c r="S57">
        <v>0.67</v>
      </c>
      <c r="T57">
        <v>0.67</v>
      </c>
      <c r="U57">
        <v>0.67</v>
      </c>
      <c r="V57">
        <v>12748</v>
      </c>
      <c r="W57">
        <v>0.66</v>
      </c>
      <c r="X57">
        <v>0.66</v>
      </c>
      <c r="Y57">
        <v>0.66</v>
      </c>
      <c r="Z57">
        <v>12930</v>
      </c>
      <c r="AA57">
        <v>0</v>
      </c>
      <c r="AB57">
        <v>24400</v>
      </c>
    </row>
    <row r="58" spans="1:28" x14ac:dyDescent="0.35">
      <c r="A58" t="s">
        <v>59</v>
      </c>
      <c r="B58" s="1">
        <v>40178</v>
      </c>
      <c r="C58">
        <v>23650.562999999998</v>
      </c>
      <c r="D58">
        <v>8844.1149999999998</v>
      </c>
      <c r="E58">
        <v>14806.448</v>
      </c>
      <c r="F58">
        <v>3651.2350000000001</v>
      </c>
      <c r="G58">
        <v>2843.027</v>
      </c>
      <c r="I58">
        <v>0</v>
      </c>
      <c r="K58">
        <v>15338.4</v>
      </c>
      <c r="L58">
        <v>8312.1859999999997</v>
      </c>
      <c r="M58">
        <v>66.599999999999994</v>
      </c>
      <c r="O58">
        <v>2.4</v>
      </c>
      <c r="P58">
        <v>8381.1890000000003</v>
      </c>
      <c r="Q58">
        <v>1860.741</v>
      </c>
      <c r="R58">
        <v>6520.4480000000003</v>
      </c>
      <c r="S58">
        <v>0.52</v>
      </c>
      <c r="T58">
        <v>0.52</v>
      </c>
      <c r="U58">
        <v>0.52</v>
      </c>
      <c r="V58">
        <v>12649</v>
      </c>
      <c r="W58">
        <v>0.51</v>
      </c>
      <c r="X58">
        <v>0.51</v>
      </c>
      <c r="Y58">
        <v>0.51</v>
      </c>
      <c r="Z58">
        <v>12777</v>
      </c>
      <c r="AA58">
        <v>0</v>
      </c>
      <c r="AB58">
        <v>19835</v>
      </c>
    </row>
    <row r="59" spans="1:28" x14ac:dyDescent="0.35">
      <c r="A59" t="s">
        <v>59</v>
      </c>
      <c r="B59" s="1">
        <v>39813</v>
      </c>
      <c r="C59">
        <v>21795.55</v>
      </c>
      <c r="D59">
        <v>8621.5059999999994</v>
      </c>
      <c r="E59">
        <v>13174.044</v>
      </c>
      <c r="F59">
        <v>3748.8829999999998</v>
      </c>
      <c r="G59">
        <v>2793.192</v>
      </c>
      <c r="I59">
        <v>1094.8</v>
      </c>
      <c r="K59">
        <v>16258.3</v>
      </c>
      <c r="L59">
        <v>5537.2120000000004</v>
      </c>
      <c r="M59">
        <v>311.89999999999998</v>
      </c>
      <c r="O59">
        <v>4.5</v>
      </c>
      <c r="P59">
        <v>5853.5959999999995</v>
      </c>
      <c r="Q59">
        <v>1626.7380000000001</v>
      </c>
      <c r="R59">
        <v>4226.8580000000002</v>
      </c>
      <c r="S59">
        <v>0.34</v>
      </c>
      <c r="T59">
        <v>0.34</v>
      </c>
      <c r="U59">
        <v>0.4</v>
      </c>
      <c r="V59">
        <v>12558</v>
      </c>
      <c r="W59">
        <v>0.33</v>
      </c>
      <c r="X59">
        <v>0.33</v>
      </c>
      <c r="Y59">
        <v>0.4</v>
      </c>
      <c r="Z59">
        <v>12701</v>
      </c>
      <c r="AA59">
        <v>0</v>
      </c>
      <c r="AB59">
        <v>20222</v>
      </c>
    </row>
    <row r="60" spans="1:28" x14ac:dyDescent="0.35">
      <c r="A60" t="s">
        <v>59</v>
      </c>
      <c r="B60" s="1">
        <v>39447</v>
      </c>
      <c r="C60">
        <v>16593.986000000001</v>
      </c>
      <c r="D60">
        <v>6649.085</v>
      </c>
      <c r="E60">
        <v>9944.9009999999998</v>
      </c>
      <c r="F60">
        <v>2740.5160000000001</v>
      </c>
      <c r="G60">
        <v>2119.9850000000001</v>
      </c>
      <c r="I60">
        <v>0</v>
      </c>
      <c r="K60">
        <v>11509.6</v>
      </c>
      <c r="L60">
        <v>5084.3999999999996</v>
      </c>
      <c r="M60">
        <v>558</v>
      </c>
      <c r="O60">
        <v>31.6</v>
      </c>
      <c r="P60">
        <v>5673.98</v>
      </c>
      <c r="Q60">
        <v>1470.26</v>
      </c>
      <c r="R60">
        <v>4203.72</v>
      </c>
      <c r="S60">
        <v>0.34</v>
      </c>
      <c r="T60">
        <v>0.34</v>
      </c>
      <c r="U60">
        <v>0.34</v>
      </c>
      <c r="V60">
        <v>12432</v>
      </c>
      <c r="W60">
        <v>0.33</v>
      </c>
      <c r="X60">
        <v>0.33</v>
      </c>
      <c r="Y60">
        <v>0.33</v>
      </c>
      <c r="Z60">
        <v>12648</v>
      </c>
      <c r="AA60">
        <v>0</v>
      </c>
      <c r="AB60">
        <v>16805</v>
      </c>
    </row>
    <row r="61" spans="1:28" x14ac:dyDescent="0.35">
      <c r="A61" t="s">
        <v>59</v>
      </c>
      <c r="B61" s="1">
        <v>39082</v>
      </c>
      <c r="C61">
        <v>10604.916999999999</v>
      </c>
      <c r="D61">
        <v>4225.027</v>
      </c>
      <c r="E61">
        <v>6379.89</v>
      </c>
      <c r="F61">
        <v>1601.3050000000001</v>
      </c>
      <c r="G61">
        <v>1228.5889999999999</v>
      </c>
      <c r="I61">
        <v>0</v>
      </c>
      <c r="K61">
        <v>7054.9</v>
      </c>
      <c r="L61">
        <v>3549.9960000000001</v>
      </c>
      <c r="M61">
        <v>411.8</v>
      </c>
      <c r="O61">
        <v>49.2</v>
      </c>
      <c r="P61">
        <v>4011.04</v>
      </c>
      <c r="Q61">
        <v>933.59400000000005</v>
      </c>
      <c r="R61">
        <v>3077.4459999999999</v>
      </c>
      <c r="S61">
        <v>0.26</v>
      </c>
      <c r="T61">
        <v>0.26</v>
      </c>
      <c r="U61">
        <v>0.26</v>
      </c>
      <c r="V61">
        <v>12056</v>
      </c>
      <c r="W61">
        <v>0.25</v>
      </c>
      <c r="X61">
        <v>0.25</v>
      </c>
      <c r="Y61">
        <v>0.25</v>
      </c>
      <c r="Z61">
        <v>12382</v>
      </c>
      <c r="AA61">
        <v>0</v>
      </c>
      <c r="AB61">
        <v>10674</v>
      </c>
    </row>
    <row r="62" spans="1:28" x14ac:dyDescent="0.35">
      <c r="A62" t="s">
        <v>60</v>
      </c>
      <c r="B62" s="1">
        <v>46022</v>
      </c>
      <c r="C62">
        <v>200966</v>
      </c>
      <c r="D62">
        <v>36175</v>
      </c>
      <c r="E62">
        <v>164791</v>
      </c>
      <c r="F62">
        <v>24143</v>
      </c>
      <c r="G62">
        <v>57372</v>
      </c>
      <c r="K62">
        <v>117690</v>
      </c>
      <c r="L62">
        <v>83276</v>
      </c>
      <c r="M62">
        <v>1723</v>
      </c>
      <c r="O62">
        <v>933</v>
      </c>
      <c r="P62">
        <v>85932</v>
      </c>
      <c r="Q62">
        <v>11444</v>
      </c>
      <c r="R62">
        <v>60458</v>
      </c>
      <c r="S62">
        <v>29.55</v>
      </c>
      <c r="T62">
        <v>23.98</v>
      </c>
      <c r="U62">
        <v>29.63</v>
      </c>
      <c r="V62">
        <v>2521</v>
      </c>
      <c r="W62">
        <v>28.94</v>
      </c>
      <c r="X62">
        <v>23.49</v>
      </c>
      <c r="Y62">
        <v>29.02</v>
      </c>
      <c r="Z62">
        <v>2574</v>
      </c>
      <c r="AA62">
        <v>2.1</v>
      </c>
      <c r="AB62">
        <v>78865</v>
      </c>
    </row>
    <row r="63" spans="1:28" x14ac:dyDescent="0.35">
      <c r="A63" t="s">
        <v>60</v>
      </c>
      <c r="B63" s="1">
        <v>45657</v>
      </c>
      <c r="C63">
        <v>164501</v>
      </c>
      <c r="D63">
        <v>30130</v>
      </c>
      <c r="E63">
        <v>134371</v>
      </c>
      <c r="F63">
        <v>20983</v>
      </c>
      <c r="G63">
        <v>43619</v>
      </c>
      <c r="I63">
        <v>389</v>
      </c>
      <c r="K63">
        <v>95121</v>
      </c>
      <c r="L63">
        <v>69380</v>
      </c>
      <c r="M63">
        <v>1112</v>
      </c>
      <c r="O63">
        <v>171</v>
      </c>
      <c r="P63">
        <v>70663</v>
      </c>
      <c r="Q63">
        <v>7585</v>
      </c>
      <c r="R63">
        <v>62360</v>
      </c>
      <c r="S63">
        <v>24.89</v>
      </c>
      <c r="T63">
        <v>24.61</v>
      </c>
      <c r="U63">
        <v>25.03</v>
      </c>
      <c r="V63">
        <v>2534</v>
      </c>
      <c r="W63">
        <v>24.13</v>
      </c>
      <c r="X63">
        <v>23.86</v>
      </c>
      <c r="Y63">
        <v>24.26</v>
      </c>
      <c r="Z63">
        <v>2614</v>
      </c>
      <c r="AA63">
        <v>2</v>
      </c>
      <c r="AB63">
        <v>74067</v>
      </c>
    </row>
    <row r="64" spans="1:28" x14ac:dyDescent="0.35">
      <c r="A64" t="s">
        <v>60</v>
      </c>
      <c r="B64" s="1">
        <v>45291</v>
      </c>
      <c r="C64">
        <v>134902</v>
      </c>
      <c r="D64">
        <v>26006</v>
      </c>
      <c r="E64">
        <v>108896</v>
      </c>
      <c r="F64">
        <v>22204</v>
      </c>
      <c r="G64">
        <v>36489</v>
      </c>
      <c r="I64">
        <v>3452</v>
      </c>
      <c r="K64">
        <v>88151</v>
      </c>
      <c r="L64">
        <v>46751</v>
      </c>
      <c r="M64">
        <v>827</v>
      </c>
      <c r="O64">
        <v>-150</v>
      </c>
      <c r="P64">
        <v>47428</v>
      </c>
      <c r="Q64">
        <v>7755</v>
      </c>
      <c r="R64">
        <v>39098</v>
      </c>
      <c r="S64">
        <v>15.41</v>
      </c>
      <c r="T64">
        <v>15.19</v>
      </c>
      <c r="U64">
        <v>16.53</v>
      </c>
      <c r="V64">
        <v>2574</v>
      </c>
      <c r="W64">
        <v>15.09</v>
      </c>
      <c r="X64">
        <v>14.87</v>
      </c>
      <c r="Y64">
        <v>16.190000000000001</v>
      </c>
      <c r="Z64">
        <v>2629</v>
      </c>
      <c r="AB64">
        <v>67317</v>
      </c>
    </row>
    <row r="65" spans="1:28" x14ac:dyDescent="0.35">
      <c r="A65" t="s">
        <v>60</v>
      </c>
      <c r="B65" s="1">
        <v>44926</v>
      </c>
      <c r="C65">
        <v>116609</v>
      </c>
      <c r="D65">
        <v>23754</v>
      </c>
      <c r="E65">
        <v>92855</v>
      </c>
      <c r="F65">
        <v>25681</v>
      </c>
      <c r="G65">
        <v>33619</v>
      </c>
      <c r="I65">
        <v>4611</v>
      </c>
      <c r="K65">
        <v>87665</v>
      </c>
      <c r="L65">
        <v>28944</v>
      </c>
      <c r="M65">
        <v>195</v>
      </c>
      <c r="O65">
        <v>-320</v>
      </c>
      <c r="P65">
        <v>28819</v>
      </c>
      <c r="Q65">
        <v>5258</v>
      </c>
      <c r="R65">
        <v>23200</v>
      </c>
      <c r="S65">
        <v>8.77</v>
      </c>
      <c r="T65">
        <v>8.6300000000000008</v>
      </c>
      <c r="U65">
        <v>10.17</v>
      </c>
      <c r="V65">
        <v>2687</v>
      </c>
      <c r="W65">
        <v>8.7200000000000006</v>
      </c>
      <c r="X65">
        <v>8.59</v>
      </c>
      <c r="Y65">
        <v>10.119999999999999</v>
      </c>
      <c r="Z65">
        <v>2702</v>
      </c>
      <c r="AB65">
        <v>86482</v>
      </c>
    </row>
    <row r="66" spans="1:28" x14ac:dyDescent="0.35">
      <c r="A66" t="s">
        <v>60</v>
      </c>
      <c r="B66" s="1">
        <v>44561</v>
      </c>
      <c r="C66">
        <v>117929</v>
      </c>
      <c r="D66">
        <v>22649</v>
      </c>
      <c r="E66">
        <v>95280</v>
      </c>
      <c r="F66">
        <v>23872</v>
      </c>
      <c r="G66">
        <v>24655</v>
      </c>
      <c r="K66">
        <v>71176</v>
      </c>
      <c r="L66">
        <v>46753</v>
      </c>
      <c r="M66">
        <v>321</v>
      </c>
      <c r="O66">
        <v>210</v>
      </c>
      <c r="P66">
        <v>47284</v>
      </c>
      <c r="Q66">
        <v>7914</v>
      </c>
      <c r="R66">
        <v>39370</v>
      </c>
      <c r="S66">
        <v>13.99</v>
      </c>
      <c r="T66">
        <v>13.99</v>
      </c>
      <c r="U66">
        <v>13.99</v>
      </c>
      <c r="V66">
        <v>2815</v>
      </c>
      <c r="W66">
        <v>13.77</v>
      </c>
      <c r="X66">
        <v>13.77</v>
      </c>
      <c r="Y66">
        <v>13.77</v>
      </c>
      <c r="Z66">
        <v>2859</v>
      </c>
      <c r="AB66">
        <v>71970</v>
      </c>
    </row>
    <row r="67" spans="1:28" x14ac:dyDescent="0.35">
      <c r="A67" t="s">
        <v>60</v>
      </c>
      <c r="B67" s="1">
        <v>44196</v>
      </c>
      <c r="C67">
        <v>85965</v>
      </c>
      <c r="D67">
        <v>16692</v>
      </c>
      <c r="E67">
        <v>69273</v>
      </c>
      <c r="F67">
        <v>18155</v>
      </c>
      <c r="G67">
        <v>18447</v>
      </c>
      <c r="K67">
        <v>53294</v>
      </c>
      <c r="L67">
        <v>32671</v>
      </c>
      <c r="M67">
        <v>543</v>
      </c>
      <c r="O67">
        <v>-34</v>
      </c>
      <c r="P67">
        <v>33180</v>
      </c>
      <c r="Q67">
        <v>4034</v>
      </c>
      <c r="R67">
        <v>29146</v>
      </c>
      <c r="S67">
        <v>10.220000000000001</v>
      </c>
      <c r="T67">
        <v>10.220000000000001</v>
      </c>
      <c r="U67">
        <v>10.220000000000001</v>
      </c>
      <c r="V67">
        <v>2851</v>
      </c>
      <c r="W67">
        <v>10.09</v>
      </c>
      <c r="X67">
        <v>10.09</v>
      </c>
      <c r="Y67">
        <v>10.09</v>
      </c>
      <c r="Z67">
        <v>2888</v>
      </c>
      <c r="AA67">
        <v>0</v>
      </c>
      <c r="AB67">
        <v>58604</v>
      </c>
    </row>
    <row r="68" spans="1:28" x14ac:dyDescent="0.35">
      <c r="A68" t="s">
        <v>60</v>
      </c>
      <c r="B68" s="1">
        <v>43830</v>
      </c>
      <c r="C68">
        <v>70697</v>
      </c>
      <c r="D68">
        <v>12770</v>
      </c>
      <c r="E68">
        <v>57927</v>
      </c>
      <c r="F68">
        <v>15341</v>
      </c>
      <c r="G68">
        <v>13600</v>
      </c>
      <c r="I68">
        <v>5000</v>
      </c>
      <c r="K68">
        <v>46711</v>
      </c>
      <c r="L68">
        <v>23986</v>
      </c>
      <c r="M68">
        <v>799</v>
      </c>
      <c r="O68">
        <v>27</v>
      </c>
      <c r="P68">
        <v>24812</v>
      </c>
      <c r="Q68">
        <v>6327</v>
      </c>
      <c r="R68">
        <v>18485</v>
      </c>
      <c r="S68">
        <v>6.48</v>
      </c>
      <c r="T68">
        <v>6.48</v>
      </c>
      <c r="U68">
        <v>7.78</v>
      </c>
      <c r="V68">
        <v>2854</v>
      </c>
      <c r="W68">
        <v>6.43</v>
      </c>
      <c r="X68">
        <v>6.43</v>
      </c>
      <c r="Y68">
        <v>7.72</v>
      </c>
      <c r="Z68">
        <v>2876</v>
      </c>
      <c r="AA68">
        <v>0</v>
      </c>
      <c r="AB68">
        <v>44942</v>
      </c>
    </row>
    <row r="69" spans="1:28" x14ac:dyDescent="0.35">
      <c r="A69" t="s">
        <v>60</v>
      </c>
      <c r="B69" s="1">
        <v>43465</v>
      </c>
      <c r="C69">
        <v>55838</v>
      </c>
      <c r="D69">
        <v>9355</v>
      </c>
      <c r="E69">
        <v>46483</v>
      </c>
      <c r="F69">
        <v>11297</v>
      </c>
      <c r="G69">
        <v>10273</v>
      </c>
      <c r="K69">
        <v>30925</v>
      </c>
      <c r="L69">
        <v>24913</v>
      </c>
      <c r="M69">
        <v>439</v>
      </c>
      <c r="O69">
        <v>9</v>
      </c>
      <c r="P69">
        <v>25361</v>
      </c>
      <c r="Q69">
        <v>3249</v>
      </c>
      <c r="R69">
        <v>22112</v>
      </c>
      <c r="S69">
        <v>7.65</v>
      </c>
      <c r="T69">
        <v>7.65</v>
      </c>
      <c r="U69">
        <v>7.65</v>
      </c>
      <c r="V69">
        <v>2890</v>
      </c>
      <c r="W69">
        <v>7.57</v>
      </c>
      <c r="X69">
        <v>7.57</v>
      </c>
      <c r="Y69">
        <v>7.57</v>
      </c>
      <c r="Z69">
        <v>2921</v>
      </c>
      <c r="AA69">
        <v>0</v>
      </c>
      <c r="AB69">
        <v>35587</v>
      </c>
    </row>
    <row r="70" spans="1:28" x14ac:dyDescent="0.35">
      <c r="A70" t="s">
        <v>60</v>
      </c>
      <c r="B70" s="1">
        <v>43100</v>
      </c>
      <c r="C70">
        <v>40653</v>
      </c>
      <c r="D70">
        <v>5454</v>
      </c>
      <c r="E70">
        <v>35199</v>
      </c>
      <c r="F70">
        <v>7242</v>
      </c>
      <c r="G70">
        <v>7754</v>
      </c>
      <c r="K70">
        <v>20450</v>
      </c>
      <c r="L70">
        <v>20203</v>
      </c>
      <c r="M70">
        <v>386</v>
      </c>
      <c r="O70">
        <v>5</v>
      </c>
      <c r="P70">
        <v>20594</v>
      </c>
      <c r="Q70">
        <v>2387</v>
      </c>
      <c r="R70">
        <v>15934</v>
      </c>
      <c r="S70">
        <v>6.27</v>
      </c>
      <c r="T70">
        <v>5.49</v>
      </c>
      <c r="U70">
        <v>6.27</v>
      </c>
      <c r="V70">
        <v>2901</v>
      </c>
      <c r="W70">
        <v>6.16</v>
      </c>
      <c r="X70">
        <v>5.39</v>
      </c>
      <c r="Y70">
        <v>6.16</v>
      </c>
      <c r="Z70">
        <v>2956</v>
      </c>
      <c r="AB70">
        <v>25105</v>
      </c>
    </row>
    <row r="71" spans="1:28" x14ac:dyDescent="0.35">
      <c r="A71" t="s">
        <v>60</v>
      </c>
      <c r="B71" s="1">
        <v>42735</v>
      </c>
      <c r="C71">
        <v>27638</v>
      </c>
      <c r="D71">
        <v>3789</v>
      </c>
      <c r="E71">
        <v>23849</v>
      </c>
      <c r="F71">
        <v>5503</v>
      </c>
      <c r="G71">
        <v>5919</v>
      </c>
      <c r="K71">
        <v>15211</v>
      </c>
      <c r="L71">
        <v>12427</v>
      </c>
      <c r="M71">
        <v>90</v>
      </c>
      <c r="O71">
        <v>1</v>
      </c>
      <c r="P71">
        <v>12518</v>
      </c>
      <c r="Q71">
        <v>2301</v>
      </c>
      <c r="R71">
        <v>10217</v>
      </c>
      <c r="S71">
        <v>3.56</v>
      </c>
      <c r="T71">
        <v>3.56</v>
      </c>
      <c r="U71">
        <v>3.56</v>
      </c>
      <c r="V71">
        <v>2863</v>
      </c>
      <c r="W71">
        <v>3.49</v>
      </c>
      <c r="X71">
        <v>3.49</v>
      </c>
      <c r="Y71">
        <v>3.49</v>
      </c>
      <c r="Z71">
        <v>2925</v>
      </c>
      <c r="AA71">
        <v>0</v>
      </c>
      <c r="AB71">
        <v>17048</v>
      </c>
    </row>
    <row r="72" spans="1:28" x14ac:dyDescent="0.35">
      <c r="A72" t="s">
        <v>60</v>
      </c>
      <c r="B72" s="1">
        <v>42369</v>
      </c>
      <c r="C72">
        <v>17928</v>
      </c>
      <c r="D72">
        <v>2867</v>
      </c>
      <c r="E72">
        <v>15061</v>
      </c>
      <c r="F72">
        <v>4020</v>
      </c>
      <c r="G72">
        <v>4816</v>
      </c>
      <c r="K72">
        <v>11703</v>
      </c>
      <c r="L72">
        <v>6225</v>
      </c>
      <c r="M72">
        <v>-37</v>
      </c>
      <c r="O72">
        <v>6</v>
      </c>
      <c r="P72">
        <v>6194</v>
      </c>
      <c r="Q72">
        <v>2506</v>
      </c>
      <c r="R72">
        <v>3688</v>
      </c>
      <c r="S72">
        <v>1.31</v>
      </c>
      <c r="T72">
        <v>1.31</v>
      </c>
      <c r="U72">
        <v>1.31</v>
      </c>
      <c r="V72">
        <v>2803</v>
      </c>
      <c r="W72">
        <v>1.29</v>
      </c>
      <c r="X72">
        <v>1.29</v>
      </c>
      <c r="Y72">
        <v>1.29</v>
      </c>
      <c r="Z72">
        <v>2853</v>
      </c>
      <c r="AA72">
        <v>0</v>
      </c>
      <c r="AB72">
        <v>12691</v>
      </c>
    </row>
    <row r="73" spans="1:28" x14ac:dyDescent="0.35">
      <c r="A73" t="s">
        <v>60</v>
      </c>
      <c r="B73" s="1">
        <v>42004</v>
      </c>
      <c r="C73">
        <v>12466</v>
      </c>
      <c r="D73">
        <v>2153</v>
      </c>
      <c r="E73">
        <v>10313</v>
      </c>
      <c r="F73">
        <v>2653</v>
      </c>
      <c r="G73">
        <v>2666</v>
      </c>
      <c r="K73">
        <v>7472</v>
      </c>
      <c r="L73">
        <v>4994</v>
      </c>
      <c r="M73">
        <v>-83</v>
      </c>
      <c r="O73">
        <v>-1</v>
      </c>
      <c r="P73">
        <v>4910</v>
      </c>
      <c r="Q73">
        <v>1970</v>
      </c>
      <c r="R73">
        <v>2940</v>
      </c>
      <c r="S73">
        <v>1.1200000000000001</v>
      </c>
      <c r="T73">
        <v>1.1200000000000001</v>
      </c>
      <c r="U73">
        <v>1.1200000000000001</v>
      </c>
      <c r="V73">
        <v>2614</v>
      </c>
      <c r="W73">
        <v>1.1000000000000001</v>
      </c>
      <c r="X73">
        <v>1.1000000000000001</v>
      </c>
      <c r="Y73">
        <v>1.1000000000000001</v>
      </c>
      <c r="Z73">
        <v>2664</v>
      </c>
      <c r="AA73">
        <v>0</v>
      </c>
      <c r="AB73">
        <v>9199</v>
      </c>
    </row>
    <row r="74" spans="1:28" x14ac:dyDescent="0.35">
      <c r="A74" t="s">
        <v>60</v>
      </c>
      <c r="B74" s="1">
        <v>41639</v>
      </c>
      <c r="C74">
        <v>7872</v>
      </c>
      <c r="D74">
        <v>1875</v>
      </c>
      <c r="E74">
        <v>5997</v>
      </c>
      <c r="F74">
        <v>1778</v>
      </c>
      <c r="G74">
        <v>1415</v>
      </c>
      <c r="K74">
        <v>5068</v>
      </c>
      <c r="L74">
        <v>2804</v>
      </c>
      <c r="M74">
        <v>-51</v>
      </c>
      <c r="O74">
        <v>1</v>
      </c>
      <c r="P74">
        <v>2754</v>
      </c>
      <c r="Q74">
        <v>1254</v>
      </c>
      <c r="R74">
        <v>1500</v>
      </c>
      <c r="S74">
        <v>0.62</v>
      </c>
      <c r="T74">
        <v>0.62</v>
      </c>
      <c r="U74">
        <v>0.62</v>
      </c>
      <c r="V74">
        <v>2420</v>
      </c>
      <c r="W74">
        <v>0.6</v>
      </c>
      <c r="X74">
        <v>0.6</v>
      </c>
      <c r="Y74">
        <v>0.6</v>
      </c>
      <c r="Z74">
        <v>2517</v>
      </c>
      <c r="AA74">
        <v>0</v>
      </c>
      <c r="AB74">
        <v>6337</v>
      </c>
    </row>
    <row r="75" spans="1:28" x14ac:dyDescent="0.35">
      <c r="A75" t="s">
        <v>60</v>
      </c>
      <c r="B75" s="1">
        <v>41274</v>
      </c>
      <c r="C75">
        <v>5089</v>
      </c>
      <c r="D75">
        <v>1364</v>
      </c>
      <c r="E75">
        <v>3725</v>
      </c>
      <c r="F75">
        <v>1788</v>
      </c>
      <c r="G75">
        <v>1399</v>
      </c>
      <c r="K75">
        <v>4551</v>
      </c>
      <c r="L75">
        <v>538</v>
      </c>
      <c r="M75">
        <v>-60</v>
      </c>
      <c r="O75">
        <v>16</v>
      </c>
      <c r="P75">
        <v>494</v>
      </c>
      <c r="Q75">
        <v>441</v>
      </c>
      <c r="R75">
        <v>53</v>
      </c>
      <c r="S75">
        <v>0.02</v>
      </c>
      <c r="T75">
        <v>0.02</v>
      </c>
      <c r="U75">
        <v>0.02</v>
      </c>
      <c r="V75">
        <v>2006</v>
      </c>
      <c r="W75">
        <v>0.01</v>
      </c>
      <c r="X75">
        <v>0.01</v>
      </c>
      <c r="Y75">
        <v>0.01</v>
      </c>
      <c r="Z75">
        <v>2166</v>
      </c>
      <c r="AA75">
        <v>0</v>
      </c>
      <c r="AB75">
        <v>4619</v>
      </c>
    </row>
    <row r="76" spans="1:28" x14ac:dyDescent="0.35">
      <c r="A76" t="s">
        <v>60</v>
      </c>
      <c r="B76" s="1">
        <v>40908</v>
      </c>
      <c r="C76">
        <v>3711</v>
      </c>
      <c r="D76">
        <v>860</v>
      </c>
      <c r="E76">
        <v>2851</v>
      </c>
      <c r="F76">
        <v>707</v>
      </c>
      <c r="G76">
        <v>388</v>
      </c>
      <c r="K76">
        <v>1955</v>
      </c>
      <c r="L76">
        <v>1756</v>
      </c>
      <c r="M76">
        <v>-71</v>
      </c>
      <c r="O76">
        <v>10</v>
      </c>
      <c r="P76">
        <v>1695</v>
      </c>
      <c r="Q76">
        <v>695</v>
      </c>
      <c r="R76">
        <v>1000</v>
      </c>
      <c r="S76">
        <v>0.31</v>
      </c>
      <c r="T76">
        <v>0.31</v>
      </c>
      <c r="U76">
        <v>0.31</v>
      </c>
      <c r="V76">
        <v>2138</v>
      </c>
      <c r="W76">
        <v>0.31</v>
      </c>
      <c r="X76">
        <v>0.31</v>
      </c>
      <c r="Y76">
        <v>0.31</v>
      </c>
      <c r="Z76">
        <v>2138</v>
      </c>
      <c r="AA76">
        <v>0</v>
      </c>
      <c r="AB76">
        <v>3200</v>
      </c>
    </row>
    <row r="77" spans="1:28" x14ac:dyDescent="0.35">
      <c r="A77" t="s">
        <v>60</v>
      </c>
      <c r="B77" s="1">
        <v>40543</v>
      </c>
      <c r="C77">
        <v>1974</v>
      </c>
      <c r="D77">
        <v>493</v>
      </c>
      <c r="E77">
        <v>1481</v>
      </c>
      <c r="F77">
        <v>305</v>
      </c>
      <c r="G77">
        <v>144</v>
      </c>
      <c r="K77">
        <v>942</v>
      </c>
      <c r="L77">
        <v>1032</v>
      </c>
      <c r="M77">
        <v>-23</v>
      </c>
      <c r="O77">
        <v>-1</v>
      </c>
      <c r="P77">
        <v>1008</v>
      </c>
      <c r="Q77">
        <v>402</v>
      </c>
      <c r="R77">
        <v>606</v>
      </c>
      <c r="S77">
        <v>0.17</v>
      </c>
      <c r="T77">
        <v>0.17</v>
      </c>
      <c r="U77">
        <v>0.17</v>
      </c>
      <c r="V77">
        <v>2138</v>
      </c>
      <c r="W77">
        <v>0.17</v>
      </c>
      <c r="X77">
        <v>0.17</v>
      </c>
      <c r="Y77">
        <v>0.17</v>
      </c>
      <c r="Z77">
        <v>2138</v>
      </c>
      <c r="AA77">
        <v>0</v>
      </c>
      <c r="AB77">
        <v>2127</v>
      </c>
    </row>
    <row r="78" spans="1:28" x14ac:dyDescent="0.35">
      <c r="A78" t="s">
        <v>60</v>
      </c>
      <c r="B78" s="1">
        <v>40178</v>
      </c>
      <c r="C78">
        <v>777</v>
      </c>
      <c r="D78">
        <v>223</v>
      </c>
      <c r="E78">
        <v>554</v>
      </c>
      <c r="F78">
        <v>205</v>
      </c>
      <c r="G78">
        <v>87</v>
      </c>
      <c r="K78">
        <v>515</v>
      </c>
      <c r="L78">
        <v>262</v>
      </c>
      <c r="M78">
        <v>-10</v>
      </c>
      <c r="O78">
        <v>2</v>
      </c>
      <c r="P78">
        <v>254</v>
      </c>
      <c r="Q78">
        <v>25</v>
      </c>
      <c r="R78">
        <v>229</v>
      </c>
      <c r="S78">
        <v>0.06</v>
      </c>
      <c r="T78">
        <v>0.06</v>
      </c>
      <c r="U78">
        <v>0.06</v>
      </c>
      <c r="V78">
        <v>2138</v>
      </c>
      <c r="W78">
        <v>0.06</v>
      </c>
      <c r="X78">
        <v>0.06</v>
      </c>
      <c r="Y78">
        <v>0.06</v>
      </c>
      <c r="Z78">
        <v>2138</v>
      </c>
      <c r="AA78">
        <v>0</v>
      </c>
      <c r="AB78">
        <v>1218</v>
      </c>
    </row>
    <row r="79" spans="1:28" x14ac:dyDescent="0.35">
      <c r="A79" t="s">
        <v>60</v>
      </c>
      <c r="B79" s="1">
        <v>39813</v>
      </c>
      <c r="C79">
        <v>272</v>
      </c>
      <c r="D79">
        <v>124</v>
      </c>
      <c r="E79">
        <v>148</v>
      </c>
      <c r="F79">
        <v>156</v>
      </c>
      <c r="G79">
        <v>47</v>
      </c>
      <c r="K79">
        <v>327</v>
      </c>
      <c r="L79">
        <v>-55</v>
      </c>
      <c r="O79">
        <v>-1</v>
      </c>
      <c r="P79">
        <v>-56</v>
      </c>
      <c r="Q79">
        <v>0</v>
      </c>
      <c r="R79">
        <v>-56</v>
      </c>
      <c r="S79">
        <v>-0.03</v>
      </c>
      <c r="T79">
        <v>-0.03</v>
      </c>
      <c r="U79">
        <v>-0.03</v>
      </c>
      <c r="V79">
        <v>2138</v>
      </c>
      <c r="W79">
        <v>-0.03</v>
      </c>
      <c r="X79">
        <v>-0.03</v>
      </c>
      <c r="Y79">
        <v>-0.03</v>
      </c>
      <c r="Z79">
        <v>2138</v>
      </c>
      <c r="AA79">
        <v>0</v>
      </c>
    </row>
    <row r="80" spans="1:28" x14ac:dyDescent="0.35">
      <c r="A80" t="s">
        <v>60</v>
      </c>
      <c r="B80" s="1">
        <v>39447</v>
      </c>
      <c r="C80">
        <v>153</v>
      </c>
      <c r="D80">
        <v>41</v>
      </c>
      <c r="E80">
        <v>112</v>
      </c>
      <c r="F80">
        <v>155</v>
      </c>
      <c r="G80">
        <v>81</v>
      </c>
      <c r="K80">
        <v>277</v>
      </c>
      <c r="L80">
        <v>-124</v>
      </c>
      <c r="O80">
        <v>-11</v>
      </c>
      <c r="P80">
        <v>-135</v>
      </c>
      <c r="Q80">
        <v>3</v>
      </c>
      <c r="R80">
        <v>-138</v>
      </c>
      <c r="S80">
        <v>-0.06</v>
      </c>
      <c r="T80">
        <v>-0.06</v>
      </c>
      <c r="U80">
        <v>-0.06</v>
      </c>
      <c r="V80">
        <v>2138</v>
      </c>
      <c r="W80">
        <v>-0.06</v>
      </c>
      <c r="X80">
        <v>-0.06</v>
      </c>
      <c r="Y80">
        <v>-0.06</v>
      </c>
      <c r="Z80">
        <v>2138</v>
      </c>
      <c r="AA80">
        <v>0</v>
      </c>
    </row>
    <row r="1048555" spans="1:1" x14ac:dyDescent="0.35">
      <c r="A1048555" t="s">
        <v>59</v>
      </c>
    </row>
    <row r="1048556" spans="1:1" x14ac:dyDescent="0.35">
      <c r="A1048556" t="s">
        <v>59</v>
      </c>
    </row>
    <row r="1048557" spans="1:1" x14ac:dyDescent="0.35">
      <c r="A1048557" t="s">
        <v>59</v>
      </c>
    </row>
    <row r="1048558" spans="1:1" x14ac:dyDescent="0.35">
      <c r="A1048558" t="s">
        <v>59</v>
      </c>
    </row>
    <row r="1048559" spans="1:1" x14ac:dyDescent="0.35">
      <c r="A1048559" t="s">
        <v>59</v>
      </c>
    </row>
    <row r="1048560" spans="1:1" x14ac:dyDescent="0.35">
      <c r="A1048560" t="s">
        <v>59</v>
      </c>
    </row>
    <row r="1048561" spans="1:1" x14ac:dyDescent="0.35">
      <c r="A1048561" t="s">
        <v>59</v>
      </c>
    </row>
    <row r="1048562" spans="1:1" x14ac:dyDescent="0.35">
      <c r="A1048562" t="s">
        <v>59</v>
      </c>
    </row>
    <row r="1048563" spans="1:1" x14ac:dyDescent="0.35">
      <c r="A1048563" t="s">
        <v>59</v>
      </c>
    </row>
    <row r="1048564" spans="1:1" x14ac:dyDescent="0.35">
      <c r="A1048564" t="s">
        <v>59</v>
      </c>
    </row>
    <row r="1048565" spans="1:1" x14ac:dyDescent="0.35">
      <c r="A1048565" t="s">
        <v>59</v>
      </c>
    </row>
    <row r="1048566" spans="1:1" x14ac:dyDescent="0.35">
      <c r="A1048566" t="s">
        <v>59</v>
      </c>
    </row>
    <row r="1048567" spans="1:1" x14ac:dyDescent="0.35">
      <c r="A1048567" t="s">
        <v>59</v>
      </c>
    </row>
    <row r="1048568" spans="1:1" x14ac:dyDescent="0.35">
      <c r="A1048568" t="s">
        <v>59</v>
      </c>
    </row>
    <row r="1048569" spans="1:1" x14ac:dyDescent="0.35">
      <c r="A1048569" t="s">
        <v>59</v>
      </c>
    </row>
    <row r="1048570" spans="1:1" x14ac:dyDescent="0.35">
      <c r="A1048570" t="s">
        <v>59</v>
      </c>
    </row>
    <row r="1048571" spans="1:1" x14ac:dyDescent="0.35">
      <c r="A1048571" t="s">
        <v>59</v>
      </c>
    </row>
    <row r="1048572" spans="1:1" x14ac:dyDescent="0.35">
      <c r="A1048572" t="s">
        <v>59</v>
      </c>
    </row>
    <row r="1048573" spans="1:1" x14ac:dyDescent="0.35">
      <c r="A1048573" t="s">
        <v>59</v>
      </c>
    </row>
    <row r="1048574" spans="1:1" x14ac:dyDescent="0.35">
      <c r="A1048574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C9CC-57A3-430F-A26C-FCD1772CAED5}">
  <dimension ref="A1:AN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2" sqref="J12"/>
    </sheetView>
  </sheetViews>
  <sheetFormatPr defaultRowHeight="14.5" x14ac:dyDescent="0.35"/>
  <cols>
    <col min="2" max="2" width="12.6328125" bestFit="1" customWidth="1"/>
    <col min="3" max="3" width="17.81640625" bestFit="1" customWidth="1"/>
    <col min="4" max="4" width="29.54296875" bestFit="1" customWidth="1"/>
    <col min="5" max="5" width="18.90625" bestFit="1" customWidth="1"/>
    <col min="6" max="6" width="12.54296875" bestFit="1" customWidth="1"/>
    <col min="7" max="7" width="15.08984375" bestFit="1" customWidth="1"/>
    <col min="8" max="8" width="23" bestFit="1" customWidth="1"/>
    <col min="9" max="9" width="17.36328125" bestFit="1" customWidth="1"/>
    <col min="10" max="10" width="34.7265625" bestFit="1" customWidth="1"/>
    <col min="11" max="11" width="29.08984375" bestFit="1" customWidth="1"/>
    <col min="12" max="12" width="31.36328125" bestFit="1" customWidth="1"/>
    <col min="13" max="13" width="11.54296875" bestFit="1" customWidth="1"/>
    <col min="14" max="14" width="13.54296875" bestFit="1" customWidth="1"/>
    <col min="15" max="15" width="19.54296875" bestFit="1" customWidth="1"/>
    <col min="16" max="16" width="23.81640625" bestFit="1" customWidth="1"/>
    <col min="17" max="17" width="25.1796875" bestFit="1" customWidth="1"/>
    <col min="18" max="18" width="10.6328125" bestFit="1" customWidth="1"/>
    <col min="19" max="19" width="15.26953125" bestFit="1" customWidth="1"/>
    <col min="20" max="20" width="15.6328125" bestFit="1" customWidth="1"/>
    <col min="21" max="21" width="33" bestFit="1" customWidth="1"/>
    <col min="22" max="22" width="26.36328125" bestFit="1" customWidth="1"/>
    <col min="23" max="23" width="25.36328125" bestFit="1" customWidth="1"/>
    <col min="24" max="24" width="19.6328125" bestFit="1" customWidth="1"/>
    <col min="25" max="25" width="14.90625" bestFit="1" customWidth="1"/>
    <col min="26" max="26" width="23.08984375" bestFit="1" customWidth="1"/>
    <col min="27" max="27" width="17.90625" bestFit="1" customWidth="1"/>
    <col min="28" max="28" width="17.54296875" bestFit="1" customWidth="1"/>
    <col min="29" max="29" width="18.6328125" bestFit="1" customWidth="1"/>
    <col min="30" max="30" width="14" bestFit="1" customWidth="1"/>
    <col min="31" max="31" width="13" bestFit="1" customWidth="1"/>
    <col min="32" max="32" width="13.1796875" bestFit="1" customWidth="1"/>
    <col min="33" max="33" width="21.36328125" bestFit="1" customWidth="1"/>
    <col min="34" max="34" width="33.90625" bestFit="1" customWidth="1"/>
    <col min="35" max="35" width="21.6328125" bestFit="1" customWidth="1"/>
    <col min="36" max="36" width="19.08984375" bestFit="1" customWidth="1"/>
    <col min="37" max="37" width="15.7265625" bestFit="1" customWidth="1"/>
    <col min="38" max="38" width="10.81640625" bestFit="1" customWidth="1"/>
    <col min="39" max="39" width="31.54296875" bestFit="1" customWidth="1"/>
    <col min="40" max="40" width="29.08984375" bestFit="1" customWidth="1"/>
  </cols>
  <sheetData>
    <row r="1" spans="1:40" x14ac:dyDescent="0.35">
      <c r="A1" t="s">
        <v>16</v>
      </c>
      <c r="B1" t="s">
        <v>86</v>
      </c>
      <c r="C1" t="s">
        <v>74</v>
      </c>
      <c r="D1" t="s">
        <v>18</v>
      </c>
      <c r="E1" t="s">
        <v>72</v>
      </c>
      <c r="F1" t="s">
        <v>19</v>
      </c>
      <c r="G1" t="s">
        <v>20</v>
      </c>
      <c r="H1" t="s">
        <v>73</v>
      </c>
      <c r="I1" t="s">
        <v>21</v>
      </c>
      <c r="J1" t="s">
        <v>75</v>
      </c>
      <c r="K1" t="s">
        <v>61</v>
      </c>
      <c r="L1" t="s">
        <v>76</v>
      </c>
      <c r="M1" t="s">
        <v>77</v>
      </c>
      <c r="N1" t="s">
        <v>78</v>
      </c>
      <c r="O1" t="s">
        <v>22</v>
      </c>
      <c r="P1" t="s">
        <v>23</v>
      </c>
      <c r="Q1" t="s">
        <v>79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80</v>
      </c>
      <c r="X1" t="s">
        <v>29</v>
      </c>
      <c r="Y1" t="s">
        <v>81</v>
      </c>
      <c r="Z1" t="s">
        <v>82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</row>
    <row r="2" spans="1:40" x14ac:dyDescent="0.35">
      <c r="A2" t="s">
        <v>17</v>
      </c>
      <c r="B2" s="1">
        <v>46022</v>
      </c>
      <c r="C2">
        <v>86810</v>
      </c>
      <c r="D2">
        <v>123029</v>
      </c>
      <c r="E2">
        <v>60529</v>
      </c>
      <c r="F2">
        <v>38325</v>
      </c>
      <c r="G2">
        <v>6900</v>
      </c>
      <c r="H2">
        <v>300</v>
      </c>
      <c r="I2">
        <v>229083</v>
      </c>
      <c r="J2">
        <v>620152</v>
      </c>
      <c r="K2">
        <v>-177073</v>
      </c>
      <c r="L2">
        <v>443079</v>
      </c>
      <c r="M2">
        <v>23273</v>
      </c>
      <c r="N2">
        <v>9197</v>
      </c>
      <c r="O2">
        <v>5000</v>
      </c>
      <c r="Q2">
        <v>108410</v>
      </c>
      <c r="R2">
        <v>818042</v>
      </c>
      <c r="S2">
        <v>121909</v>
      </c>
      <c r="T2">
        <v>70415</v>
      </c>
      <c r="U2">
        <v>4650</v>
      </c>
      <c r="V2">
        <v>455</v>
      </c>
      <c r="W2">
        <v>20576</v>
      </c>
      <c r="X2">
        <v>218005</v>
      </c>
      <c r="Y2">
        <v>65648</v>
      </c>
      <c r="Z2">
        <v>18542</v>
      </c>
      <c r="AA2">
        <v>84190</v>
      </c>
      <c r="AC2">
        <v>104782</v>
      </c>
      <c r="AE2">
        <v>406977</v>
      </c>
      <c r="AF2">
        <v>112</v>
      </c>
      <c r="AG2">
        <v>140024</v>
      </c>
      <c r="AH2">
        <v>250536</v>
      </c>
      <c r="AI2">
        <v>-7837</v>
      </c>
      <c r="AJ2">
        <v>30170</v>
      </c>
      <c r="AK2">
        <v>-1940</v>
      </c>
      <c r="AL2">
        <v>411065</v>
      </c>
      <c r="AM2">
        <v>818042</v>
      </c>
      <c r="AN2">
        <v>10731</v>
      </c>
    </row>
    <row r="3" spans="1:40" x14ac:dyDescent="0.35">
      <c r="A3" t="s">
        <v>17</v>
      </c>
      <c r="B3" s="1">
        <v>45657</v>
      </c>
      <c r="C3">
        <v>78779</v>
      </c>
      <c r="D3">
        <v>101202</v>
      </c>
      <c r="E3">
        <v>48904</v>
      </c>
      <c r="F3">
        <v>34214</v>
      </c>
      <c r="G3">
        <v>6300</v>
      </c>
      <c r="H3">
        <v>247</v>
      </c>
      <c r="I3">
        <v>190867</v>
      </c>
      <c r="J3">
        <v>470196</v>
      </c>
      <c r="K3">
        <v>-141390</v>
      </c>
      <c r="L3">
        <v>328806</v>
      </c>
      <c r="M3">
        <v>23074</v>
      </c>
      <c r="N3">
        <v>8602</v>
      </c>
      <c r="O3">
        <v>4600</v>
      </c>
      <c r="Q3">
        <v>68945</v>
      </c>
      <c r="R3">
        <v>624894</v>
      </c>
      <c r="S3">
        <v>94363</v>
      </c>
      <c r="T3">
        <v>60110</v>
      </c>
      <c r="U3">
        <v>6704</v>
      </c>
      <c r="V3">
        <v>151</v>
      </c>
      <c r="W3">
        <v>18103</v>
      </c>
      <c r="X3">
        <v>179431</v>
      </c>
      <c r="Y3">
        <v>52623</v>
      </c>
      <c r="Z3">
        <v>16327</v>
      </c>
      <c r="AA3">
        <v>68950</v>
      </c>
      <c r="AC3">
        <v>90543</v>
      </c>
      <c r="AE3">
        <v>338924</v>
      </c>
      <c r="AF3">
        <v>111</v>
      </c>
      <c r="AG3">
        <v>120864</v>
      </c>
      <c r="AH3">
        <v>172866</v>
      </c>
      <c r="AI3">
        <v>-7837</v>
      </c>
      <c r="AK3">
        <v>-34</v>
      </c>
      <c r="AL3">
        <v>285970</v>
      </c>
      <c r="AM3">
        <v>624894</v>
      </c>
      <c r="AN3">
        <v>10593</v>
      </c>
    </row>
    <row r="4" spans="1:40" x14ac:dyDescent="0.35">
      <c r="A4" t="s">
        <v>17</v>
      </c>
      <c r="B4" s="1">
        <v>45291</v>
      </c>
      <c r="C4">
        <v>73387</v>
      </c>
      <c r="D4">
        <v>86780</v>
      </c>
      <c r="E4">
        <v>46356</v>
      </c>
      <c r="F4">
        <v>33318</v>
      </c>
      <c r="G4">
        <v>5400</v>
      </c>
      <c r="H4">
        <v>497</v>
      </c>
      <c r="I4">
        <v>172351</v>
      </c>
      <c r="J4">
        <v>396801</v>
      </c>
      <c r="K4">
        <v>-120111</v>
      </c>
      <c r="L4">
        <v>276690</v>
      </c>
      <c r="M4">
        <v>22789</v>
      </c>
      <c r="N4">
        <v>7687</v>
      </c>
      <c r="O4">
        <v>5700</v>
      </c>
      <c r="Q4">
        <v>42637</v>
      </c>
      <c r="R4">
        <v>527854</v>
      </c>
      <c r="S4">
        <v>84981</v>
      </c>
      <c r="T4">
        <v>53765</v>
      </c>
      <c r="U4">
        <v>10797</v>
      </c>
      <c r="V4">
        <v>147</v>
      </c>
      <c r="W4">
        <v>15227</v>
      </c>
      <c r="X4">
        <v>164917</v>
      </c>
      <c r="Y4">
        <v>58314</v>
      </c>
      <c r="Z4">
        <v>16677</v>
      </c>
      <c r="AA4">
        <v>74991</v>
      </c>
      <c r="AC4">
        <v>86071</v>
      </c>
      <c r="AE4">
        <v>325979</v>
      </c>
      <c r="AF4">
        <v>109</v>
      </c>
      <c r="AG4">
        <v>99025</v>
      </c>
      <c r="AH4">
        <v>113618</v>
      </c>
      <c r="AI4">
        <v>-7837</v>
      </c>
      <c r="AK4">
        <v>-3040</v>
      </c>
      <c r="AL4">
        <v>201875</v>
      </c>
      <c r="AM4">
        <v>527854</v>
      </c>
      <c r="AN4">
        <v>10383</v>
      </c>
    </row>
    <row r="5" spans="1:40" x14ac:dyDescent="0.35">
      <c r="A5" t="s">
        <v>17</v>
      </c>
      <c r="B5" s="1">
        <v>44926</v>
      </c>
      <c r="C5">
        <v>53888</v>
      </c>
      <c r="D5">
        <v>70026</v>
      </c>
      <c r="E5">
        <v>42002</v>
      </c>
      <c r="F5">
        <v>34405</v>
      </c>
      <c r="H5">
        <v>358</v>
      </c>
      <c r="I5">
        <v>146791</v>
      </c>
      <c r="J5">
        <v>349853</v>
      </c>
      <c r="K5">
        <v>-97015</v>
      </c>
      <c r="L5">
        <v>252838</v>
      </c>
      <c r="M5">
        <v>20288</v>
      </c>
      <c r="N5">
        <v>6097</v>
      </c>
      <c r="O5">
        <v>5000</v>
      </c>
      <c r="Q5">
        <v>31661</v>
      </c>
      <c r="R5">
        <v>462675</v>
      </c>
      <c r="S5">
        <v>79600</v>
      </c>
      <c r="T5">
        <v>46904</v>
      </c>
      <c r="U5">
        <v>7662</v>
      </c>
      <c r="V5">
        <v>8000</v>
      </c>
      <c r="W5">
        <v>13227</v>
      </c>
      <c r="X5">
        <v>155393</v>
      </c>
      <c r="Y5">
        <v>67150</v>
      </c>
      <c r="Z5">
        <v>18086</v>
      </c>
      <c r="AA5">
        <v>85236</v>
      </c>
      <c r="AC5">
        <v>76003</v>
      </c>
      <c r="AE5">
        <v>316632</v>
      </c>
      <c r="AF5">
        <v>108</v>
      </c>
      <c r="AG5">
        <v>75066</v>
      </c>
      <c r="AH5">
        <v>83193</v>
      </c>
      <c r="AI5">
        <v>-7837</v>
      </c>
      <c r="AK5">
        <v>-4487</v>
      </c>
      <c r="AL5">
        <v>146043</v>
      </c>
      <c r="AM5">
        <v>462675</v>
      </c>
      <c r="AN5">
        <v>10242</v>
      </c>
    </row>
    <row r="6" spans="1:40" x14ac:dyDescent="0.35">
      <c r="A6" t="s">
        <v>17</v>
      </c>
      <c r="B6" s="1">
        <v>44561</v>
      </c>
      <c r="C6">
        <v>36220</v>
      </c>
      <c r="D6">
        <v>96049</v>
      </c>
      <c r="E6">
        <v>32649</v>
      </c>
      <c r="F6">
        <v>32640</v>
      </c>
      <c r="H6">
        <v>242</v>
      </c>
      <c r="I6">
        <v>161580</v>
      </c>
      <c r="J6">
        <v>294882</v>
      </c>
      <c r="K6">
        <v>-78519</v>
      </c>
      <c r="L6">
        <v>216363</v>
      </c>
      <c r="M6">
        <v>15371</v>
      </c>
      <c r="N6">
        <v>5107</v>
      </c>
      <c r="O6">
        <v>20300</v>
      </c>
      <c r="Q6">
        <v>1828</v>
      </c>
      <c r="R6">
        <v>420549</v>
      </c>
      <c r="S6">
        <v>78664</v>
      </c>
      <c r="T6">
        <v>40962</v>
      </c>
      <c r="U6">
        <v>9770</v>
      </c>
      <c r="V6">
        <v>1043</v>
      </c>
      <c r="W6">
        <v>11827</v>
      </c>
      <c r="X6">
        <v>142266</v>
      </c>
      <c r="Y6">
        <v>48744</v>
      </c>
      <c r="Z6">
        <v>21870</v>
      </c>
      <c r="AA6">
        <v>70614</v>
      </c>
      <c r="AB6">
        <v>494</v>
      </c>
      <c r="AC6">
        <v>68930</v>
      </c>
      <c r="AE6">
        <v>282304</v>
      </c>
      <c r="AF6">
        <v>5</v>
      </c>
      <c r="AG6">
        <v>55538</v>
      </c>
      <c r="AH6">
        <v>85915</v>
      </c>
      <c r="AI6">
        <v>-1837</v>
      </c>
      <c r="AK6">
        <v>-1376</v>
      </c>
      <c r="AL6">
        <v>138245</v>
      </c>
      <c r="AM6">
        <v>420549</v>
      </c>
      <c r="AN6">
        <v>10180</v>
      </c>
    </row>
    <row r="7" spans="1:40" x14ac:dyDescent="0.35">
      <c r="A7" t="s">
        <v>17</v>
      </c>
      <c r="B7" s="1">
        <v>44196</v>
      </c>
      <c r="C7">
        <v>42122</v>
      </c>
      <c r="D7">
        <v>84396</v>
      </c>
      <c r="E7">
        <v>24309</v>
      </c>
      <c r="F7">
        <v>23795</v>
      </c>
      <c r="G7">
        <v>1</v>
      </c>
      <c r="H7">
        <v>232</v>
      </c>
      <c r="I7">
        <v>132733</v>
      </c>
      <c r="J7">
        <v>211101</v>
      </c>
      <c r="K7">
        <v>-60434</v>
      </c>
      <c r="L7">
        <v>150667</v>
      </c>
      <c r="M7">
        <v>15017</v>
      </c>
      <c r="N7">
        <v>4981</v>
      </c>
      <c r="O7">
        <v>3200</v>
      </c>
      <c r="Q7">
        <v>14597</v>
      </c>
      <c r="R7">
        <v>321195</v>
      </c>
      <c r="S7">
        <v>72539</v>
      </c>
      <c r="T7">
        <v>31773</v>
      </c>
      <c r="U7">
        <v>11640</v>
      </c>
      <c r="V7">
        <v>725</v>
      </c>
      <c r="W7">
        <v>9708</v>
      </c>
      <c r="X7">
        <v>126385</v>
      </c>
      <c r="Y7">
        <v>31816</v>
      </c>
      <c r="Z7">
        <v>21460</v>
      </c>
      <c r="AA7">
        <v>53276</v>
      </c>
      <c r="AC7">
        <v>48130</v>
      </c>
      <c r="AE7">
        <v>227791</v>
      </c>
      <c r="AF7">
        <v>5</v>
      </c>
      <c r="AG7">
        <v>42865</v>
      </c>
      <c r="AH7">
        <v>52551</v>
      </c>
      <c r="AI7">
        <v>-1837</v>
      </c>
      <c r="AK7">
        <v>-180</v>
      </c>
      <c r="AL7">
        <v>93404</v>
      </c>
      <c r="AM7">
        <v>321195</v>
      </c>
      <c r="AN7">
        <v>10060</v>
      </c>
    </row>
    <row r="8" spans="1:40" x14ac:dyDescent="0.35">
      <c r="A8" t="s">
        <v>17</v>
      </c>
      <c r="B8" s="1">
        <v>43830</v>
      </c>
      <c r="C8">
        <v>36092</v>
      </c>
      <c r="D8">
        <v>55021</v>
      </c>
      <c r="E8">
        <v>20540</v>
      </c>
      <c r="F8">
        <v>20497</v>
      </c>
      <c r="G8">
        <v>1</v>
      </c>
      <c r="H8">
        <v>275</v>
      </c>
      <c r="I8">
        <v>96334</v>
      </c>
      <c r="J8">
        <v>144821</v>
      </c>
      <c r="K8">
        <v>-46975</v>
      </c>
      <c r="L8">
        <v>97846</v>
      </c>
      <c r="M8">
        <v>14754</v>
      </c>
      <c r="N8">
        <v>4049</v>
      </c>
      <c r="O8">
        <v>679</v>
      </c>
      <c r="Q8">
        <v>11586</v>
      </c>
      <c r="R8">
        <v>225248</v>
      </c>
      <c r="S8">
        <v>47183</v>
      </c>
      <c r="T8">
        <v>21248</v>
      </c>
      <c r="U8">
        <v>11191</v>
      </c>
      <c r="V8">
        <v>0</v>
      </c>
      <c r="W8">
        <v>8190</v>
      </c>
      <c r="X8">
        <v>87812</v>
      </c>
      <c r="Y8">
        <v>23414</v>
      </c>
      <c r="Z8">
        <v>17095</v>
      </c>
      <c r="AA8">
        <v>40509</v>
      </c>
      <c r="AC8">
        <v>34867</v>
      </c>
      <c r="AE8">
        <v>163188</v>
      </c>
      <c r="AF8">
        <v>5</v>
      </c>
      <c r="AG8">
        <v>33658</v>
      </c>
      <c r="AH8">
        <v>31220</v>
      </c>
      <c r="AI8">
        <v>-1837</v>
      </c>
      <c r="AK8">
        <v>-986</v>
      </c>
      <c r="AL8">
        <v>62060</v>
      </c>
      <c r="AM8">
        <v>225248</v>
      </c>
      <c r="AN8">
        <v>9960</v>
      </c>
    </row>
    <row r="9" spans="1:40" x14ac:dyDescent="0.35">
      <c r="A9" t="s">
        <v>17</v>
      </c>
      <c r="B9" s="1">
        <v>43465</v>
      </c>
      <c r="C9">
        <v>31750</v>
      </c>
      <c r="D9">
        <v>41250</v>
      </c>
      <c r="E9">
        <v>16677</v>
      </c>
      <c r="F9">
        <v>17174</v>
      </c>
      <c r="I9">
        <v>75101</v>
      </c>
      <c r="J9">
        <v>95770</v>
      </c>
      <c r="K9">
        <v>-33973</v>
      </c>
      <c r="L9">
        <v>61797</v>
      </c>
      <c r="M9">
        <v>14548</v>
      </c>
      <c r="N9">
        <v>4110</v>
      </c>
      <c r="O9">
        <v>518</v>
      </c>
      <c r="Q9">
        <v>6574</v>
      </c>
      <c r="R9">
        <v>162648</v>
      </c>
      <c r="S9">
        <v>38192</v>
      </c>
      <c r="T9">
        <v>14161</v>
      </c>
      <c r="U9">
        <v>9502</v>
      </c>
      <c r="V9">
        <v>0</v>
      </c>
      <c r="W9">
        <v>6536</v>
      </c>
      <c r="X9">
        <v>68391</v>
      </c>
      <c r="Y9">
        <v>23495</v>
      </c>
      <c r="Z9">
        <v>16292</v>
      </c>
      <c r="AA9">
        <v>39787</v>
      </c>
      <c r="AB9">
        <v>1490</v>
      </c>
      <c r="AC9">
        <v>9431</v>
      </c>
      <c r="AE9">
        <v>119099</v>
      </c>
      <c r="AF9">
        <v>5</v>
      </c>
      <c r="AG9">
        <v>26791</v>
      </c>
      <c r="AH9">
        <v>19625</v>
      </c>
      <c r="AI9">
        <v>-1837</v>
      </c>
      <c r="AK9">
        <v>-1035</v>
      </c>
      <c r="AL9">
        <v>43549</v>
      </c>
      <c r="AM9">
        <v>162648</v>
      </c>
      <c r="AN9">
        <v>9820</v>
      </c>
    </row>
    <row r="10" spans="1:40" x14ac:dyDescent="0.35">
      <c r="A10" t="s">
        <v>17</v>
      </c>
      <c r="B10" s="1">
        <v>43100</v>
      </c>
      <c r="C10">
        <v>20522</v>
      </c>
      <c r="D10">
        <v>30986</v>
      </c>
      <c r="E10">
        <v>13164</v>
      </c>
      <c r="F10">
        <v>16047</v>
      </c>
      <c r="I10">
        <v>60197</v>
      </c>
      <c r="J10">
        <v>68573</v>
      </c>
      <c r="K10">
        <v>-19707</v>
      </c>
      <c r="L10">
        <v>48866</v>
      </c>
      <c r="M10">
        <v>13350</v>
      </c>
      <c r="N10">
        <v>3371</v>
      </c>
      <c r="O10">
        <v>415</v>
      </c>
      <c r="Q10">
        <v>5111</v>
      </c>
      <c r="R10">
        <v>131310</v>
      </c>
      <c r="S10">
        <v>34616</v>
      </c>
      <c r="T10">
        <v>11949</v>
      </c>
      <c r="U10">
        <v>6221</v>
      </c>
      <c r="V10">
        <v>0</v>
      </c>
      <c r="W10">
        <v>5097</v>
      </c>
      <c r="X10">
        <v>57883</v>
      </c>
      <c r="Y10">
        <v>24743</v>
      </c>
      <c r="Z10">
        <v>13183</v>
      </c>
      <c r="AA10">
        <v>37926</v>
      </c>
      <c r="AB10">
        <v>990</v>
      </c>
      <c r="AC10">
        <v>6802</v>
      </c>
      <c r="AE10">
        <v>103601</v>
      </c>
      <c r="AF10">
        <v>5</v>
      </c>
      <c r="AG10">
        <v>21389</v>
      </c>
      <c r="AH10">
        <v>8636</v>
      </c>
      <c r="AI10">
        <v>-1837</v>
      </c>
      <c r="AJ10">
        <v>-16</v>
      </c>
      <c r="AK10">
        <v>-468</v>
      </c>
      <c r="AL10">
        <v>27709</v>
      </c>
      <c r="AM10">
        <v>131310</v>
      </c>
      <c r="AN10">
        <v>9680</v>
      </c>
    </row>
    <row r="11" spans="1:40" x14ac:dyDescent="0.35">
      <c r="A11" t="s">
        <v>17</v>
      </c>
      <c r="B11" s="1">
        <v>42735</v>
      </c>
      <c r="C11">
        <v>19334</v>
      </c>
      <c r="D11">
        <v>25981</v>
      </c>
      <c r="E11">
        <v>8339</v>
      </c>
      <c r="F11">
        <v>11461</v>
      </c>
      <c r="I11">
        <v>45781</v>
      </c>
      <c r="J11">
        <v>42441</v>
      </c>
      <c r="K11">
        <v>-13327</v>
      </c>
      <c r="L11">
        <v>29114</v>
      </c>
      <c r="M11">
        <v>3784</v>
      </c>
      <c r="N11">
        <v>854</v>
      </c>
      <c r="O11">
        <v>242</v>
      </c>
      <c r="Q11">
        <v>3627</v>
      </c>
      <c r="R11">
        <v>83402</v>
      </c>
      <c r="S11">
        <v>25309</v>
      </c>
      <c r="T11">
        <v>8542</v>
      </c>
      <c r="U11">
        <v>5197</v>
      </c>
      <c r="V11">
        <v>0</v>
      </c>
      <c r="W11">
        <v>4768</v>
      </c>
      <c r="X11">
        <v>43816</v>
      </c>
      <c r="Y11">
        <v>7694</v>
      </c>
      <c r="Z11">
        <v>7519</v>
      </c>
      <c r="AA11">
        <v>15213</v>
      </c>
      <c r="AB11">
        <v>392</v>
      </c>
      <c r="AC11">
        <v>4696</v>
      </c>
      <c r="AE11">
        <v>64117</v>
      </c>
      <c r="AF11">
        <v>5</v>
      </c>
      <c r="AG11">
        <v>17186</v>
      </c>
      <c r="AH11">
        <v>4916</v>
      </c>
      <c r="AI11">
        <v>-1837</v>
      </c>
      <c r="AJ11">
        <v>16</v>
      </c>
      <c r="AK11">
        <v>-1001</v>
      </c>
      <c r="AL11">
        <v>19285</v>
      </c>
      <c r="AM11">
        <v>83402</v>
      </c>
      <c r="AN11">
        <v>9540</v>
      </c>
    </row>
    <row r="12" spans="1:40" x14ac:dyDescent="0.35">
      <c r="A12" t="s">
        <v>17</v>
      </c>
      <c r="B12" s="1">
        <v>42369</v>
      </c>
      <c r="C12">
        <v>15890</v>
      </c>
      <c r="D12">
        <v>19808</v>
      </c>
      <c r="E12">
        <v>5654</v>
      </c>
      <c r="F12">
        <v>10243</v>
      </c>
      <c r="I12">
        <v>35705</v>
      </c>
      <c r="J12">
        <v>30053</v>
      </c>
      <c r="K12">
        <v>-8215</v>
      </c>
      <c r="L12">
        <v>21838</v>
      </c>
      <c r="M12">
        <v>3759</v>
      </c>
      <c r="Q12">
        <v>3445</v>
      </c>
      <c r="R12">
        <v>64747</v>
      </c>
      <c r="S12">
        <v>20397</v>
      </c>
      <c r="T12">
        <v>7273</v>
      </c>
      <c r="U12">
        <v>3099</v>
      </c>
      <c r="V12">
        <v>0</v>
      </c>
      <c r="W12">
        <v>3118</v>
      </c>
      <c r="X12">
        <v>33887</v>
      </c>
      <c r="Y12">
        <v>8227</v>
      </c>
      <c r="Z12">
        <v>5900</v>
      </c>
      <c r="AA12">
        <v>14127</v>
      </c>
      <c r="AC12">
        <v>3349</v>
      </c>
      <c r="AE12">
        <v>51363</v>
      </c>
      <c r="AF12">
        <v>5</v>
      </c>
      <c r="AG12">
        <v>13394</v>
      </c>
      <c r="AH12">
        <v>2545</v>
      </c>
      <c r="AI12">
        <v>-1837</v>
      </c>
      <c r="AK12">
        <v>-723</v>
      </c>
      <c r="AL12">
        <v>13384</v>
      </c>
      <c r="AM12">
        <v>64747</v>
      </c>
      <c r="AN12">
        <v>9420</v>
      </c>
    </row>
    <row r="13" spans="1:40" x14ac:dyDescent="0.35">
      <c r="A13" t="s">
        <v>17</v>
      </c>
      <c r="B13" s="1">
        <v>42004</v>
      </c>
      <c r="C13">
        <v>14557</v>
      </c>
      <c r="D13">
        <v>17416</v>
      </c>
      <c r="E13">
        <v>5612</v>
      </c>
      <c r="F13">
        <v>8299</v>
      </c>
      <c r="I13">
        <v>31327</v>
      </c>
      <c r="J13">
        <v>22730</v>
      </c>
      <c r="K13">
        <v>-5763</v>
      </c>
      <c r="L13">
        <v>16967</v>
      </c>
      <c r="M13">
        <v>3319</v>
      </c>
      <c r="N13">
        <v>764</v>
      </c>
      <c r="O13">
        <v>209</v>
      </c>
      <c r="Q13">
        <v>1919</v>
      </c>
      <c r="R13">
        <v>54505</v>
      </c>
      <c r="S13">
        <v>16459</v>
      </c>
      <c r="T13">
        <v>6207</v>
      </c>
      <c r="U13">
        <v>3600</v>
      </c>
      <c r="V13">
        <v>0</v>
      </c>
      <c r="W13">
        <v>1823</v>
      </c>
      <c r="X13">
        <v>28089</v>
      </c>
      <c r="Y13">
        <v>8265</v>
      </c>
      <c r="Z13">
        <v>4224</v>
      </c>
      <c r="AA13">
        <v>12489</v>
      </c>
      <c r="AB13">
        <v>1021</v>
      </c>
      <c r="AC13">
        <v>2165</v>
      </c>
      <c r="AE13">
        <v>43764</v>
      </c>
      <c r="AF13">
        <v>5</v>
      </c>
      <c r="AG13">
        <v>11135</v>
      </c>
      <c r="AH13">
        <v>1949</v>
      </c>
      <c r="AI13">
        <v>-1837</v>
      </c>
      <c r="AJ13">
        <v>1</v>
      </c>
      <c r="AK13">
        <v>-512</v>
      </c>
      <c r="AL13">
        <v>10741</v>
      </c>
      <c r="AM13">
        <v>54505</v>
      </c>
      <c r="AN13">
        <v>9300</v>
      </c>
    </row>
    <row r="14" spans="1:40" x14ac:dyDescent="0.35">
      <c r="A14" t="s">
        <v>17</v>
      </c>
      <c r="B14" s="1">
        <v>41639</v>
      </c>
      <c r="C14">
        <v>8658</v>
      </c>
      <c r="D14">
        <v>12447</v>
      </c>
      <c r="E14">
        <v>4767</v>
      </c>
      <c r="F14">
        <v>7411</v>
      </c>
      <c r="I14">
        <v>24625</v>
      </c>
      <c r="J14">
        <v>14809</v>
      </c>
      <c r="K14">
        <v>-3860</v>
      </c>
      <c r="L14">
        <v>10949</v>
      </c>
      <c r="M14">
        <v>2655</v>
      </c>
      <c r="N14">
        <v>645</v>
      </c>
      <c r="O14">
        <v>127</v>
      </c>
      <c r="Q14">
        <v>1158</v>
      </c>
      <c r="R14">
        <v>40159</v>
      </c>
      <c r="S14">
        <v>15133</v>
      </c>
      <c r="T14">
        <v>4952</v>
      </c>
      <c r="U14">
        <v>1736</v>
      </c>
      <c r="V14">
        <v>0</v>
      </c>
      <c r="W14">
        <v>1159</v>
      </c>
      <c r="X14">
        <v>22980</v>
      </c>
      <c r="Y14">
        <v>3191</v>
      </c>
      <c r="Z14">
        <v>1990</v>
      </c>
      <c r="AA14">
        <v>5181</v>
      </c>
      <c r="AC14">
        <v>2252</v>
      </c>
      <c r="AE14">
        <v>30413</v>
      </c>
      <c r="AF14">
        <v>5</v>
      </c>
      <c r="AG14">
        <v>9573</v>
      </c>
      <c r="AH14">
        <v>2190</v>
      </c>
      <c r="AI14">
        <v>-1837</v>
      </c>
      <c r="AJ14">
        <v>2</v>
      </c>
      <c r="AK14">
        <v>-187</v>
      </c>
      <c r="AL14">
        <v>9746</v>
      </c>
      <c r="AM14">
        <v>40159</v>
      </c>
      <c r="AN14">
        <v>9180</v>
      </c>
    </row>
    <row r="15" spans="1:40" x14ac:dyDescent="0.35">
      <c r="A15" t="s">
        <v>17</v>
      </c>
      <c r="B15" s="1">
        <v>41274</v>
      </c>
      <c r="C15">
        <v>8084</v>
      </c>
      <c r="D15">
        <v>11448</v>
      </c>
      <c r="E15">
        <v>3364</v>
      </c>
      <c r="F15">
        <v>6031</v>
      </c>
      <c r="H15">
        <v>453</v>
      </c>
      <c r="I15">
        <v>21296</v>
      </c>
      <c r="J15">
        <v>9582</v>
      </c>
      <c r="K15">
        <v>-2522</v>
      </c>
      <c r="L15">
        <v>7060</v>
      </c>
      <c r="M15">
        <v>2552</v>
      </c>
      <c r="N15">
        <v>725</v>
      </c>
      <c r="O15">
        <v>140</v>
      </c>
      <c r="Q15">
        <v>782</v>
      </c>
      <c r="R15">
        <v>32555</v>
      </c>
      <c r="S15">
        <v>13318</v>
      </c>
      <c r="T15">
        <v>5129</v>
      </c>
      <c r="U15">
        <v>555</v>
      </c>
      <c r="V15">
        <v>0</v>
      </c>
      <c r="X15">
        <v>19002</v>
      </c>
      <c r="Y15">
        <v>3084</v>
      </c>
      <c r="Z15">
        <v>746</v>
      </c>
      <c r="AA15">
        <v>3830</v>
      </c>
      <c r="AC15">
        <v>1531</v>
      </c>
      <c r="AE15">
        <v>24363</v>
      </c>
      <c r="AF15">
        <v>5</v>
      </c>
      <c r="AG15">
        <v>8347</v>
      </c>
      <c r="AH15">
        <v>1916</v>
      </c>
      <c r="AI15">
        <v>-1837</v>
      </c>
      <c r="AJ15">
        <v>11</v>
      </c>
      <c r="AK15">
        <v>-250</v>
      </c>
      <c r="AL15">
        <v>8192</v>
      </c>
      <c r="AM15">
        <v>32555</v>
      </c>
      <c r="AN15">
        <v>9080</v>
      </c>
    </row>
    <row r="16" spans="1:40" x14ac:dyDescent="0.35">
      <c r="A16" t="s">
        <v>17</v>
      </c>
      <c r="B16" s="1">
        <v>40908</v>
      </c>
      <c r="C16">
        <v>5269</v>
      </c>
      <c r="D16">
        <v>9576</v>
      </c>
      <c r="E16">
        <v>2571</v>
      </c>
      <c r="F16">
        <v>4992</v>
      </c>
      <c r="H16">
        <v>351</v>
      </c>
      <c r="I16">
        <v>17490</v>
      </c>
      <c r="J16">
        <v>5786</v>
      </c>
      <c r="K16">
        <v>-1369</v>
      </c>
      <c r="L16">
        <v>4417</v>
      </c>
      <c r="M16">
        <v>1955</v>
      </c>
      <c r="N16">
        <v>647</v>
      </c>
      <c r="Q16">
        <v>769</v>
      </c>
      <c r="R16">
        <v>25278</v>
      </c>
      <c r="S16">
        <v>11145</v>
      </c>
      <c r="T16">
        <v>2765</v>
      </c>
      <c r="U16">
        <v>524</v>
      </c>
      <c r="V16">
        <v>0</v>
      </c>
      <c r="W16">
        <v>462</v>
      </c>
      <c r="X16">
        <v>14896</v>
      </c>
      <c r="Y16">
        <v>255</v>
      </c>
      <c r="Z16">
        <v>1160</v>
      </c>
      <c r="AA16">
        <v>1415</v>
      </c>
      <c r="AC16">
        <v>1210</v>
      </c>
      <c r="AE16">
        <v>17521</v>
      </c>
      <c r="AF16">
        <v>5</v>
      </c>
      <c r="AG16">
        <v>6990</v>
      </c>
      <c r="AH16">
        <v>1955</v>
      </c>
      <c r="AI16">
        <v>-877</v>
      </c>
      <c r="AJ16">
        <v>10</v>
      </c>
      <c r="AK16">
        <v>-326</v>
      </c>
      <c r="AL16">
        <v>7757</v>
      </c>
      <c r="AM16">
        <v>25278</v>
      </c>
      <c r="AN16">
        <v>9100</v>
      </c>
    </row>
    <row r="17" spans="1:40" x14ac:dyDescent="0.35">
      <c r="A17" t="s">
        <v>17</v>
      </c>
      <c r="B17" s="1">
        <v>40543</v>
      </c>
      <c r="C17">
        <v>3777</v>
      </c>
      <c r="D17">
        <v>8762</v>
      </c>
      <c r="E17">
        <v>1587</v>
      </c>
      <c r="F17">
        <v>3202</v>
      </c>
      <c r="H17">
        <v>196</v>
      </c>
      <c r="I17">
        <v>13747</v>
      </c>
      <c r="J17">
        <v>3256</v>
      </c>
      <c r="K17">
        <v>-842</v>
      </c>
      <c r="L17">
        <v>2414</v>
      </c>
      <c r="M17">
        <v>1349</v>
      </c>
      <c r="N17">
        <v>563</v>
      </c>
      <c r="Q17">
        <v>724</v>
      </c>
      <c r="R17">
        <v>18797</v>
      </c>
      <c r="S17">
        <v>8051</v>
      </c>
      <c r="T17">
        <v>1860</v>
      </c>
      <c r="U17">
        <v>0</v>
      </c>
      <c r="V17">
        <v>0</v>
      </c>
      <c r="W17">
        <v>461</v>
      </c>
      <c r="X17">
        <v>10372</v>
      </c>
      <c r="Y17">
        <v>184</v>
      </c>
      <c r="Z17">
        <v>457</v>
      </c>
      <c r="AA17">
        <v>641</v>
      </c>
      <c r="AC17">
        <v>920</v>
      </c>
      <c r="AE17">
        <v>11933</v>
      </c>
      <c r="AF17">
        <v>5</v>
      </c>
      <c r="AG17">
        <v>6325</v>
      </c>
      <c r="AH17">
        <v>1324</v>
      </c>
      <c r="AI17">
        <v>-600</v>
      </c>
      <c r="AK17">
        <v>-190</v>
      </c>
      <c r="AL17">
        <v>6864</v>
      </c>
      <c r="AM17">
        <v>18797</v>
      </c>
      <c r="AN17">
        <v>9020</v>
      </c>
    </row>
    <row r="18" spans="1:40" x14ac:dyDescent="0.35">
      <c r="A18" t="s">
        <v>17</v>
      </c>
      <c r="B18" s="1">
        <v>40178</v>
      </c>
      <c r="C18">
        <v>3444</v>
      </c>
      <c r="D18">
        <v>6366</v>
      </c>
      <c r="E18">
        <v>988</v>
      </c>
      <c r="F18">
        <v>2171</v>
      </c>
      <c r="H18">
        <v>272</v>
      </c>
      <c r="I18">
        <v>9797</v>
      </c>
      <c r="J18">
        <v>1915</v>
      </c>
      <c r="K18">
        <v>-625</v>
      </c>
      <c r="L18">
        <v>1290</v>
      </c>
      <c r="M18">
        <v>1234</v>
      </c>
      <c r="N18">
        <v>567</v>
      </c>
      <c r="Q18">
        <v>925</v>
      </c>
      <c r="R18">
        <v>13813</v>
      </c>
      <c r="S18">
        <v>5605</v>
      </c>
      <c r="T18">
        <v>1248</v>
      </c>
      <c r="U18">
        <v>0</v>
      </c>
      <c r="V18">
        <v>0</v>
      </c>
      <c r="W18">
        <v>511</v>
      </c>
      <c r="X18">
        <v>7364</v>
      </c>
      <c r="Y18">
        <v>109</v>
      </c>
      <c r="Z18">
        <v>143</v>
      </c>
      <c r="AA18">
        <v>252</v>
      </c>
      <c r="AC18">
        <v>940</v>
      </c>
      <c r="AE18">
        <v>8556</v>
      </c>
      <c r="AF18">
        <v>5</v>
      </c>
      <c r="AG18">
        <v>5736</v>
      </c>
      <c r="AH18">
        <v>172</v>
      </c>
      <c r="AI18">
        <v>-600</v>
      </c>
      <c r="AK18">
        <v>-56</v>
      </c>
      <c r="AL18">
        <v>5257</v>
      </c>
      <c r="AM18">
        <v>13813</v>
      </c>
      <c r="AN18">
        <v>8880</v>
      </c>
    </row>
    <row r="19" spans="1:40" x14ac:dyDescent="0.35">
      <c r="A19" t="s">
        <v>17</v>
      </c>
      <c r="B19" s="1">
        <v>39813</v>
      </c>
      <c r="C19">
        <v>2769</v>
      </c>
      <c r="D19">
        <v>3727</v>
      </c>
      <c r="E19">
        <v>827</v>
      </c>
      <c r="F19">
        <v>1399</v>
      </c>
      <c r="H19">
        <v>204</v>
      </c>
      <c r="I19">
        <v>6157</v>
      </c>
      <c r="J19">
        <v>1409</v>
      </c>
      <c r="K19">
        <v>-555</v>
      </c>
      <c r="L19">
        <v>854</v>
      </c>
      <c r="M19">
        <v>438</v>
      </c>
      <c r="N19">
        <v>160</v>
      </c>
      <c r="Q19">
        <v>705</v>
      </c>
      <c r="R19">
        <v>8314</v>
      </c>
      <c r="S19">
        <v>3594</v>
      </c>
      <c r="T19">
        <v>902</v>
      </c>
      <c r="U19">
        <v>59</v>
      </c>
      <c r="V19">
        <v>0</v>
      </c>
      <c r="W19">
        <v>191</v>
      </c>
      <c r="X19">
        <v>4746</v>
      </c>
      <c r="Y19">
        <v>409</v>
      </c>
      <c r="AA19">
        <v>409</v>
      </c>
      <c r="AC19">
        <v>487</v>
      </c>
      <c r="AE19">
        <v>5642</v>
      </c>
      <c r="AF19">
        <v>4</v>
      </c>
      <c r="AG19">
        <v>4121</v>
      </c>
      <c r="AH19">
        <v>-730</v>
      </c>
      <c r="AI19">
        <v>-600</v>
      </c>
      <c r="AK19">
        <v>-123</v>
      </c>
      <c r="AL19">
        <v>2672</v>
      </c>
      <c r="AM19">
        <v>8314</v>
      </c>
      <c r="AN19">
        <v>8560</v>
      </c>
    </row>
    <row r="20" spans="1:40" x14ac:dyDescent="0.35">
      <c r="A20" t="s">
        <v>17</v>
      </c>
      <c r="B20" s="1">
        <v>39447</v>
      </c>
      <c r="C20">
        <v>2539</v>
      </c>
      <c r="D20">
        <v>3112</v>
      </c>
      <c r="E20">
        <v>682</v>
      </c>
      <c r="F20">
        <v>1200</v>
      </c>
      <c r="G20">
        <v>23</v>
      </c>
      <c r="H20">
        <v>147</v>
      </c>
      <c r="I20">
        <v>5164</v>
      </c>
      <c r="J20">
        <v>1023</v>
      </c>
      <c r="K20">
        <v>-480</v>
      </c>
      <c r="L20">
        <v>543</v>
      </c>
      <c r="M20">
        <v>222</v>
      </c>
      <c r="Q20">
        <v>556</v>
      </c>
      <c r="R20">
        <v>6485</v>
      </c>
      <c r="S20">
        <v>2795</v>
      </c>
      <c r="T20">
        <v>919</v>
      </c>
      <c r="U20">
        <v>0</v>
      </c>
      <c r="V20">
        <v>0</v>
      </c>
      <c r="X20">
        <v>3714</v>
      </c>
      <c r="Y20">
        <v>1282</v>
      </c>
      <c r="AA20">
        <v>1282</v>
      </c>
      <c r="AC20">
        <v>292</v>
      </c>
      <c r="AE20">
        <v>5288</v>
      </c>
      <c r="AF20">
        <v>4</v>
      </c>
      <c r="AG20">
        <v>3063</v>
      </c>
      <c r="AH20">
        <v>-1375</v>
      </c>
      <c r="AI20">
        <v>-500</v>
      </c>
      <c r="AK20">
        <v>5</v>
      </c>
      <c r="AL20">
        <v>1197</v>
      </c>
      <c r="AM20">
        <v>6485</v>
      </c>
      <c r="AN20">
        <v>8320</v>
      </c>
    </row>
    <row r="21" spans="1:40" x14ac:dyDescent="0.35">
      <c r="A21" t="s">
        <v>17</v>
      </c>
      <c r="B21" s="1">
        <v>39082</v>
      </c>
      <c r="C21">
        <v>1022</v>
      </c>
      <c r="D21">
        <v>2019</v>
      </c>
      <c r="E21">
        <v>382</v>
      </c>
      <c r="F21">
        <v>877</v>
      </c>
      <c r="G21">
        <v>17</v>
      </c>
      <c r="H21">
        <v>78</v>
      </c>
      <c r="I21">
        <v>3373</v>
      </c>
      <c r="J21">
        <v>824</v>
      </c>
      <c r="K21">
        <v>-367</v>
      </c>
      <c r="L21">
        <v>457</v>
      </c>
      <c r="M21">
        <v>195</v>
      </c>
      <c r="Q21">
        <v>338</v>
      </c>
      <c r="R21">
        <v>4363</v>
      </c>
      <c r="S21">
        <v>1816</v>
      </c>
      <c r="T21">
        <v>716</v>
      </c>
      <c r="U21">
        <v>0</v>
      </c>
      <c r="V21">
        <v>0</v>
      </c>
      <c r="X21">
        <v>2532</v>
      </c>
      <c r="Y21">
        <v>1247</v>
      </c>
      <c r="AA21">
        <v>1247</v>
      </c>
      <c r="AC21">
        <v>153</v>
      </c>
      <c r="AE21">
        <v>3932</v>
      </c>
      <c r="AF21">
        <v>4</v>
      </c>
      <c r="AG21">
        <v>2517</v>
      </c>
      <c r="AH21">
        <v>-1837</v>
      </c>
      <c r="AI21">
        <v>-252</v>
      </c>
      <c r="AK21">
        <v>-1</v>
      </c>
      <c r="AL21">
        <v>431</v>
      </c>
      <c r="AM21">
        <v>4363</v>
      </c>
      <c r="AN21">
        <v>8280</v>
      </c>
    </row>
    <row r="22" spans="1:40" x14ac:dyDescent="0.35">
      <c r="A22" t="s">
        <v>58</v>
      </c>
      <c r="B22" s="1">
        <v>46022</v>
      </c>
      <c r="C22">
        <v>30242</v>
      </c>
      <c r="D22">
        <v>94565</v>
      </c>
      <c r="E22">
        <v>78105</v>
      </c>
      <c r="F22">
        <v>938</v>
      </c>
      <c r="H22">
        <v>17523</v>
      </c>
      <c r="I22">
        <v>191131</v>
      </c>
      <c r="J22">
        <v>323442</v>
      </c>
      <c r="K22">
        <v>-93653</v>
      </c>
      <c r="L22">
        <v>229789</v>
      </c>
      <c r="M22">
        <v>119509</v>
      </c>
      <c r="N22">
        <v>22604</v>
      </c>
      <c r="O22">
        <v>15405</v>
      </c>
      <c r="P22">
        <v>5200</v>
      </c>
      <c r="Q22">
        <v>35365</v>
      </c>
      <c r="R22">
        <v>619003</v>
      </c>
      <c r="S22">
        <v>27724</v>
      </c>
      <c r="T22">
        <v>19133</v>
      </c>
      <c r="U22">
        <v>6171</v>
      </c>
      <c r="V22">
        <v>0</v>
      </c>
      <c r="W22">
        <v>88190</v>
      </c>
      <c r="X22">
        <v>141218</v>
      </c>
      <c r="Y22">
        <v>40152</v>
      </c>
      <c r="Z22">
        <v>43000</v>
      </c>
      <c r="AA22">
        <v>83152</v>
      </c>
      <c r="AB22">
        <v>2835</v>
      </c>
      <c r="AC22">
        <v>48319</v>
      </c>
      <c r="AE22">
        <v>275524</v>
      </c>
      <c r="AF22">
        <v>46462.5</v>
      </c>
      <c r="AG22">
        <v>62632.5</v>
      </c>
      <c r="AH22">
        <v>237731</v>
      </c>
      <c r="AJ22">
        <v>-1051</v>
      </c>
      <c r="AK22">
        <v>-2296</v>
      </c>
      <c r="AL22">
        <v>343479</v>
      </c>
      <c r="AM22">
        <v>619003</v>
      </c>
      <c r="AN22">
        <v>7434</v>
      </c>
    </row>
    <row r="23" spans="1:40" x14ac:dyDescent="0.35">
      <c r="A23" t="s">
        <v>58</v>
      </c>
      <c r="B23" s="1">
        <v>45657</v>
      </c>
      <c r="C23">
        <v>18315</v>
      </c>
      <c r="D23">
        <v>75543</v>
      </c>
      <c r="E23">
        <v>67424</v>
      </c>
      <c r="F23">
        <v>1246</v>
      </c>
      <c r="H23">
        <v>15521</v>
      </c>
      <c r="I23">
        <v>159734</v>
      </c>
      <c r="J23">
        <v>230973</v>
      </c>
      <c r="K23">
        <v>-76421</v>
      </c>
      <c r="L23">
        <v>154552</v>
      </c>
      <c r="M23">
        <v>119220</v>
      </c>
      <c r="N23">
        <v>27597</v>
      </c>
      <c r="O23">
        <v>14600</v>
      </c>
      <c r="P23">
        <v>4900</v>
      </c>
      <c r="Q23">
        <v>31560</v>
      </c>
      <c r="R23">
        <v>512163</v>
      </c>
      <c r="S23">
        <v>21996</v>
      </c>
      <c r="T23">
        <v>16144</v>
      </c>
      <c r="U23">
        <v>4598</v>
      </c>
      <c r="V23">
        <v>6693</v>
      </c>
      <c r="W23">
        <v>75855</v>
      </c>
      <c r="X23">
        <v>125286</v>
      </c>
      <c r="Y23">
        <v>42688</v>
      </c>
      <c r="Z23">
        <v>24796</v>
      </c>
      <c r="AA23">
        <v>67484</v>
      </c>
      <c r="AB23">
        <v>2618</v>
      </c>
      <c r="AC23">
        <v>48298</v>
      </c>
      <c r="AE23">
        <v>243686</v>
      </c>
      <c r="AF23">
        <v>46462.5</v>
      </c>
      <c r="AG23">
        <v>54460.5</v>
      </c>
      <c r="AH23">
        <v>173144</v>
      </c>
      <c r="AJ23">
        <v>-2625</v>
      </c>
      <c r="AK23">
        <v>-2965</v>
      </c>
      <c r="AL23">
        <v>268477</v>
      </c>
      <c r="AM23">
        <v>512163</v>
      </c>
      <c r="AN23">
        <v>7434</v>
      </c>
    </row>
    <row r="24" spans="1:40" x14ac:dyDescent="0.35">
      <c r="A24" t="s">
        <v>58</v>
      </c>
      <c r="B24" s="1">
        <v>45291</v>
      </c>
      <c r="C24">
        <v>34704</v>
      </c>
      <c r="D24">
        <v>111262</v>
      </c>
      <c r="E24">
        <v>48688</v>
      </c>
      <c r="F24">
        <v>2500</v>
      </c>
      <c r="H24">
        <v>21807</v>
      </c>
      <c r="I24">
        <v>184257</v>
      </c>
      <c r="J24">
        <v>178238</v>
      </c>
      <c r="K24">
        <v>-68251</v>
      </c>
      <c r="L24">
        <v>109987</v>
      </c>
      <c r="M24">
        <v>67886</v>
      </c>
      <c r="N24">
        <v>9366</v>
      </c>
      <c r="O24">
        <v>9879</v>
      </c>
      <c r="P24">
        <v>4500</v>
      </c>
      <c r="Q24">
        <v>26101</v>
      </c>
      <c r="R24">
        <v>411976</v>
      </c>
      <c r="S24">
        <v>18095</v>
      </c>
      <c r="T24">
        <v>13418</v>
      </c>
      <c r="U24">
        <v>6444</v>
      </c>
      <c r="V24">
        <v>0</v>
      </c>
      <c r="W24">
        <v>66192</v>
      </c>
      <c r="X24">
        <v>104149</v>
      </c>
      <c r="Y24">
        <v>41990</v>
      </c>
      <c r="Z24">
        <v>15870</v>
      </c>
      <c r="AA24">
        <v>57860</v>
      </c>
      <c r="AB24">
        <v>433</v>
      </c>
      <c r="AC24">
        <v>43311</v>
      </c>
      <c r="AE24">
        <v>205753</v>
      </c>
      <c r="AF24">
        <v>46450</v>
      </c>
      <c r="AG24">
        <v>47268</v>
      </c>
      <c r="AH24">
        <v>118848</v>
      </c>
      <c r="AJ24">
        <v>-3582</v>
      </c>
      <c r="AK24">
        <v>-2761</v>
      </c>
      <c r="AL24">
        <v>206223</v>
      </c>
      <c r="AM24">
        <v>411976</v>
      </c>
      <c r="AN24">
        <v>7432</v>
      </c>
    </row>
    <row r="25" spans="1:40" x14ac:dyDescent="0.35">
      <c r="A25" t="s">
        <v>58</v>
      </c>
      <c r="B25" s="1">
        <v>44926</v>
      </c>
      <c r="C25">
        <v>13931</v>
      </c>
      <c r="D25">
        <v>104757</v>
      </c>
      <c r="E25">
        <v>44261</v>
      </c>
      <c r="F25">
        <v>3742</v>
      </c>
      <c r="H25">
        <v>16924</v>
      </c>
      <c r="I25">
        <v>169684</v>
      </c>
      <c r="J25">
        <v>147206</v>
      </c>
      <c r="K25">
        <v>-59660</v>
      </c>
      <c r="L25">
        <v>87546</v>
      </c>
      <c r="M25">
        <v>67524</v>
      </c>
      <c r="N25">
        <v>11298</v>
      </c>
      <c r="O25">
        <v>6891</v>
      </c>
      <c r="P25">
        <v>3800</v>
      </c>
      <c r="Q25">
        <v>18097</v>
      </c>
      <c r="R25">
        <v>364840</v>
      </c>
      <c r="S25">
        <v>19000</v>
      </c>
      <c r="T25">
        <v>12889</v>
      </c>
      <c r="U25">
        <v>3809</v>
      </c>
      <c r="V25">
        <v>0</v>
      </c>
      <c r="W25">
        <v>59384</v>
      </c>
      <c r="X25">
        <v>95082</v>
      </c>
      <c r="Y25">
        <v>47032</v>
      </c>
      <c r="Z25">
        <v>13842</v>
      </c>
      <c r="AA25">
        <v>60874</v>
      </c>
      <c r="AB25">
        <v>230</v>
      </c>
      <c r="AC25">
        <v>42112</v>
      </c>
      <c r="AE25">
        <v>198298</v>
      </c>
      <c r="AF25">
        <v>46650</v>
      </c>
      <c r="AG25">
        <v>40289</v>
      </c>
      <c r="AH25">
        <v>84281</v>
      </c>
      <c r="AJ25">
        <v>-2138</v>
      </c>
      <c r="AK25">
        <v>-2540</v>
      </c>
      <c r="AL25">
        <v>166542</v>
      </c>
      <c r="AM25">
        <v>364840</v>
      </c>
      <c r="AN25">
        <v>7464</v>
      </c>
    </row>
    <row r="26" spans="1:40" x14ac:dyDescent="0.35">
      <c r="A26" t="s">
        <v>58</v>
      </c>
      <c r="B26" s="1">
        <v>44561</v>
      </c>
      <c r="C26">
        <v>14224</v>
      </c>
      <c r="D26">
        <v>130334</v>
      </c>
      <c r="E26">
        <v>38043</v>
      </c>
      <c r="F26">
        <v>2636</v>
      </c>
      <c r="H26">
        <v>13393</v>
      </c>
      <c r="I26">
        <v>184406</v>
      </c>
      <c r="J26">
        <v>122154</v>
      </c>
      <c r="K26">
        <v>-51351</v>
      </c>
      <c r="L26">
        <v>70803</v>
      </c>
      <c r="M26">
        <v>49711</v>
      </c>
      <c r="N26">
        <v>7800</v>
      </c>
      <c r="O26">
        <v>5984</v>
      </c>
      <c r="P26">
        <v>3400</v>
      </c>
      <c r="Q26">
        <v>11675</v>
      </c>
      <c r="R26">
        <v>333779</v>
      </c>
      <c r="S26">
        <v>15163</v>
      </c>
      <c r="T26">
        <v>12019</v>
      </c>
      <c r="U26">
        <v>8863</v>
      </c>
      <c r="V26">
        <v>0</v>
      </c>
      <c r="W26">
        <v>52612</v>
      </c>
      <c r="X26">
        <v>88657</v>
      </c>
      <c r="Y26">
        <v>50074</v>
      </c>
      <c r="Z26">
        <v>11750</v>
      </c>
      <c r="AA26">
        <v>61824</v>
      </c>
      <c r="AB26">
        <v>198</v>
      </c>
      <c r="AC26">
        <v>41112</v>
      </c>
      <c r="AE26">
        <v>191791</v>
      </c>
      <c r="AF26">
        <v>46993.8</v>
      </c>
      <c r="AG26">
        <v>36117.25</v>
      </c>
      <c r="AH26">
        <v>57055</v>
      </c>
      <c r="AJ26">
        <v>3222</v>
      </c>
      <c r="AK26">
        <v>-1400</v>
      </c>
      <c r="AL26">
        <v>141988</v>
      </c>
      <c r="AM26">
        <v>333779</v>
      </c>
      <c r="AN26">
        <v>7519</v>
      </c>
    </row>
    <row r="27" spans="1:40" x14ac:dyDescent="0.35">
      <c r="A27" t="s">
        <v>58</v>
      </c>
      <c r="B27" s="1">
        <v>44196</v>
      </c>
      <c r="C27">
        <v>13576</v>
      </c>
      <c r="D27">
        <v>136527</v>
      </c>
      <c r="E27">
        <v>32011</v>
      </c>
      <c r="F27">
        <v>1895</v>
      </c>
      <c r="H27">
        <v>11482</v>
      </c>
      <c r="I27">
        <v>181915</v>
      </c>
      <c r="J27">
        <v>96101</v>
      </c>
      <c r="K27">
        <v>-43197</v>
      </c>
      <c r="L27">
        <v>52904</v>
      </c>
      <c r="M27">
        <v>43351</v>
      </c>
      <c r="N27">
        <v>7038</v>
      </c>
      <c r="O27">
        <v>2965</v>
      </c>
      <c r="P27">
        <v>2700</v>
      </c>
      <c r="Q27">
        <v>10438</v>
      </c>
      <c r="R27">
        <v>301311</v>
      </c>
      <c r="S27">
        <v>12530</v>
      </c>
      <c r="T27">
        <v>9490</v>
      </c>
      <c r="U27">
        <v>4289</v>
      </c>
      <c r="V27">
        <v>0</v>
      </c>
      <c r="W27">
        <v>46001</v>
      </c>
      <c r="X27">
        <v>72310</v>
      </c>
      <c r="Y27">
        <v>59578</v>
      </c>
      <c r="Z27">
        <v>8956</v>
      </c>
      <c r="AA27">
        <v>68534</v>
      </c>
      <c r="AB27">
        <v>204</v>
      </c>
      <c r="AC27">
        <v>41959</v>
      </c>
      <c r="AE27">
        <v>183007</v>
      </c>
      <c r="AF27">
        <v>47318.8</v>
      </c>
      <c r="AG27">
        <v>33233.25</v>
      </c>
      <c r="AH27">
        <v>34566</v>
      </c>
      <c r="AJ27">
        <v>5478</v>
      </c>
      <c r="AK27">
        <v>-2292</v>
      </c>
      <c r="AL27">
        <v>118304</v>
      </c>
      <c r="AM27">
        <v>301311</v>
      </c>
      <c r="AN27">
        <v>7571</v>
      </c>
    </row>
    <row r="28" spans="1:40" x14ac:dyDescent="0.35">
      <c r="A28" t="s">
        <v>58</v>
      </c>
      <c r="B28" s="1">
        <v>43830</v>
      </c>
      <c r="C28">
        <v>11356</v>
      </c>
      <c r="D28">
        <v>133819</v>
      </c>
      <c r="E28">
        <v>29524</v>
      </c>
      <c r="F28">
        <v>2063</v>
      </c>
      <c r="H28">
        <v>10146</v>
      </c>
      <c r="I28">
        <v>175552</v>
      </c>
      <c r="J28">
        <v>79186</v>
      </c>
      <c r="K28">
        <v>-35330</v>
      </c>
      <c r="L28">
        <v>43856</v>
      </c>
      <c r="M28">
        <v>42026</v>
      </c>
      <c r="N28">
        <v>7750</v>
      </c>
      <c r="O28">
        <v>2649</v>
      </c>
      <c r="P28">
        <v>2200</v>
      </c>
      <c r="Q28">
        <v>12523</v>
      </c>
      <c r="R28">
        <v>286556</v>
      </c>
      <c r="S28">
        <v>9382</v>
      </c>
      <c r="T28">
        <v>8345</v>
      </c>
      <c r="U28">
        <v>5833</v>
      </c>
      <c r="V28">
        <v>0</v>
      </c>
      <c r="W28">
        <v>45860</v>
      </c>
      <c r="X28">
        <v>69420</v>
      </c>
      <c r="Y28">
        <v>66662</v>
      </c>
      <c r="Z28">
        <v>6257</v>
      </c>
      <c r="AA28">
        <v>72919</v>
      </c>
      <c r="AB28">
        <v>233</v>
      </c>
      <c r="AC28">
        <v>41654</v>
      </c>
      <c r="AE28">
        <v>184226</v>
      </c>
      <c r="AF28">
        <v>49679.5</v>
      </c>
      <c r="AG28">
        <v>28840.5</v>
      </c>
      <c r="AH28">
        <v>24150</v>
      </c>
      <c r="AJ28">
        <v>1488</v>
      </c>
      <c r="AK28">
        <v>-1828</v>
      </c>
      <c r="AL28">
        <v>102330</v>
      </c>
      <c r="AM28">
        <v>286556</v>
      </c>
      <c r="AN28">
        <v>7643</v>
      </c>
    </row>
    <row r="29" spans="1:40" x14ac:dyDescent="0.35">
      <c r="A29" t="s">
        <v>58</v>
      </c>
      <c r="B29" s="1">
        <v>43465</v>
      </c>
      <c r="C29">
        <v>11946</v>
      </c>
      <c r="D29">
        <v>133650</v>
      </c>
      <c r="E29">
        <v>26481</v>
      </c>
      <c r="F29">
        <v>2662</v>
      </c>
      <c r="H29">
        <v>6869</v>
      </c>
      <c r="I29">
        <v>169662</v>
      </c>
      <c r="J29">
        <v>65369</v>
      </c>
      <c r="K29">
        <v>-29223</v>
      </c>
      <c r="L29">
        <v>36146</v>
      </c>
      <c r="M29">
        <v>35683</v>
      </c>
      <c r="N29">
        <v>8053</v>
      </c>
      <c r="O29">
        <v>1862</v>
      </c>
      <c r="P29">
        <v>1800</v>
      </c>
      <c r="Q29">
        <v>5642</v>
      </c>
      <c r="R29">
        <v>258848</v>
      </c>
      <c r="S29">
        <v>8617</v>
      </c>
      <c r="T29">
        <v>7502</v>
      </c>
      <c r="U29">
        <v>4174</v>
      </c>
      <c r="V29">
        <v>0</v>
      </c>
      <c r="W29">
        <v>38195</v>
      </c>
      <c r="X29">
        <v>58488</v>
      </c>
      <c r="Y29">
        <v>72242</v>
      </c>
      <c r="Z29">
        <v>4125</v>
      </c>
      <c r="AA29">
        <v>76367</v>
      </c>
      <c r="AB29">
        <v>541</v>
      </c>
      <c r="AC29">
        <v>40734</v>
      </c>
      <c r="AE29">
        <v>176130</v>
      </c>
      <c r="AF29">
        <v>47981.2</v>
      </c>
      <c r="AG29">
        <v>23241.75</v>
      </c>
      <c r="AH29">
        <v>13682</v>
      </c>
      <c r="AJ29">
        <v>-892</v>
      </c>
      <c r="AK29">
        <v>-1295</v>
      </c>
      <c r="AL29">
        <v>82718</v>
      </c>
      <c r="AM29">
        <v>258848</v>
      </c>
      <c r="AN29">
        <v>7677</v>
      </c>
    </row>
    <row r="30" spans="1:40" x14ac:dyDescent="0.35">
      <c r="A30" t="s">
        <v>58</v>
      </c>
      <c r="B30" s="1">
        <v>43100</v>
      </c>
      <c r="C30">
        <v>7663</v>
      </c>
      <c r="D30">
        <v>132881</v>
      </c>
      <c r="E30">
        <v>22431</v>
      </c>
      <c r="F30">
        <v>2181</v>
      </c>
      <c r="H30">
        <v>5203</v>
      </c>
      <c r="I30">
        <v>162696</v>
      </c>
      <c r="J30">
        <v>54468</v>
      </c>
      <c r="K30">
        <v>-24179</v>
      </c>
      <c r="L30">
        <v>30289</v>
      </c>
      <c r="M30">
        <v>35122</v>
      </c>
      <c r="N30">
        <v>10106</v>
      </c>
      <c r="O30">
        <v>5956</v>
      </c>
      <c r="Q30">
        <v>6143</v>
      </c>
      <c r="R30">
        <v>250312</v>
      </c>
      <c r="S30">
        <v>7390</v>
      </c>
      <c r="T30">
        <v>5819</v>
      </c>
      <c r="U30">
        <v>1162</v>
      </c>
      <c r="V30">
        <v>9072</v>
      </c>
      <c r="W30">
        <v>32302</v>
      </c>
      <c r="X30">
        <v>55745</v>
      </c>
      <c r="Y30">
        <v>76073</v>
      </c>
      <c r="Z30">
        <v>2425</v>
      </c>
      <c r="AA30">
        <v>78498</v>
      </c>
      <c r="AB30">
        <v>5734</v>
      </c>
      <c r="AC30">
        <v>22624</v>
      </c>
      <c r="AE30">
        <v>162601</v>
      </c>
      <c r="AF30">
        <v>48175</v>
      </c>
      <c r="AG30">
        <v>21140</v>
      </c>
      <c r="AH30">
        <v>17769</v>
      </c>
      <c r="AJ30">
        <v>1825</v>
      </c>
      <c r="AK30">
        <v>-1198</v>
      </c>
      <c r="AL30">
        <v>87711</v>
      </c>
      <c r="AM30">
        <v>250312</v>
      </c>
      <c r="AN30">
        <v>7708</v>
      </c>
    </row>
    <row r="31" spans="1:40" x14ac:dyDescent="0.35">
      <c r="A31" t="s">
        <v>58</v>
      </c>
      <c r="B31" s="1">
        <v>42735</v>
      </c>
      <c r="C31">
        <v>6510</v>
      </c>
      <c r="D31">
        <v>113167</v>
      </c>
      <c r="E31">
        <v>18277</v>
      </c>
      <c r="F31">
        <v>2251</v>
      </c>
      <c r="H31">
        <v>5965</v>
      </c>
      <c r="I31">
        <v>139660</v>
      </c>
      <c r="J31">
        <v>38156</v>
      </c>
      <c r="K31">
        <v>-19800</v>
      </c>
      <c r="L31">
        <v>18356</v>
      </c>
      <c r="M31">
        <v>17872</v>
      </c>
      <c r="N31">
        <v>3733</v>
      </c>
      <c r="O31">
        <v>10413</v>
      </c>
      <c r="Q31">
        <v>3434</v>
      </c>
      <c r="R31">
        <v>193468</v>
      </c>
      <c r="S31">
        <v>6898</v>
      </c>
      <c r="T31">
        <v>5264</v>
      </c>
      <c r="U31">
        <v>25</v>
      </c>
      <c r="V31">
        <v>12904</v>
      </c>
      <c r="W31">
        <v>34266</v>
      </c>
      <c r="X31">
        <v>59357</v>
      </c>
      <c r="Y31">
        <v>40557</v>
      </c>
      <c r="Z31">
        <v>761</v>
      </c>
      <c r="AA31">
        <v>41318</v>
      </c>
      <c r="AB31">
        <v>1476</v>
      </c>
      <c r="AC31">
        <v>19320</v>
      </c>
      <c r="AE31">
        <v>121471</v>
      </c>
      <c r="AF31">
        <v>48800</v>
      </c>
      <c r="AG31">
        <v>19378</v>
      </c>
      <c r="AH31">
        <v>2282</v>
      </c>
      <c r="AJ31">
        <v>2941</v>
      </c>
      <c r="AK31">
        <v>-1404</v>
      </c>
      <c r="AL31">
        <v>71997</v>
      </c>
      <c r="AM31">
        <v>193468</v>
      </c>
      <c r="AN31">
        <v>7808</v>
      </c>
    </row>
    <row r="32" spans="1:40" x14ac:dyDescent="0.35">
      <c r="A32" t="s">
        <v>58</v>
      </c>
      <c r="B32" s="1">
        <v>42369</v>
      </c>
      <c r="C32">
        <v>5595</v>
      </c>
      <c r="D32">
        <v>96282</v>
      </c>
      <c r="E32">
        <v>17908</v>
      </c>
      <c r="F32">
        <v>2902</v>
      </c>
      <c r="H32">
        <v>5705</v>
      </c>
      <c r="I32">
        <v>122797</v>
      </c>
      <c r="J32">
        <v>32337</v>
      </c>
      <c r="K32">
        <v>-17606</v>
      </c>
      <c r="L32">
        <v>14731</v>
      </c>
      <c r="M32">
        <v>16939</v>
      </c>
      <c r="N32">
        <v>4835</v>
      </c>
      <c r="O32">
        <v>12028</v>
      </c>
      <c r="Q32">
        <v>3142</v>
      </c>
      <c r="R32">
        <v>174472</v>
      </c>
      <c r="S32">
        <v>6591</v>
      </c>
      <c r="T32">
        <v>5096</v>
      </c>
      <c r="U32">
        <v>2499</v>
      </c>
      <c r="V32">
        <v>4985</v>
      </c>
      <c r="W32">
        <v>30476</v>
      </c>
      <c r="X32">
        <v>49647</v>
      </c>
      <c r="Y32">
        <v>27808</v>
      </c>
      <c r="AA32">
        <v>27808</v>
      </c>
      <c r="AB32">
        <v>1295</v>
      </c>
      <c r="AC32">
        <v>15639</v>
      </c>
      <c r="AE32">
        <v>94389</v>
      </c>
      <c r="AF32">
        <v>50168.800000000003</v>
      </c>
      <c r="AG32">
        <v>18296.25</v>
      </c>
      <c r="AH32">
        <v>9096</v>
      </c>
      <c r="AJ32">
        <v>3169</v>
      </c>
      <c r="AK32">
        <v>-647</v>
      </c>
      <c r="AL32">
        <v>80083</v>
      </c>
      <c r="AM32">
        <v>174472</v>
      </c>
      <c r="AN32">
        <v>8027</v>
      </c>
    </row>
    <row r="33" spans="1:40" x14ac:dyDescent="0.35">
      <c r="A33" t="s">
        <v>58</v>
      </c>
      <c r="B33" s="1">
        <v>42004</v>
      </c>
      <c r="C33">
        <v>8669</v>
      </c>
      <c r="D33">
        <v>85465</v>
      </c>
      <c r="E33">
        <v>19544</v>
      </c>
      <c r="F33">
        <v>2660</v>
      </c>
      <c r="H33">
        <v>6577</v>
      </c>
      <c r="I33">
        <v>114246</v>
      </c>
      <c r="J33">
        <v>27804</v>
      </c>
      <c r="K33">
        <v>-14793</v>
      </c>
      <c r="L33">
        <v>13011</v>
      </c>
      <c r="M33">
        <v>20127</v>
      </c>
      <c r="N33">
        <v>6981</v>
      </c>
      <c r="O33">
        <v>14590</v>
      </c>
      <c r="Q33">
        <v>3429</v>
      </c>
      <c r="R33">
        <v>172384</v>
      </c>
      <c r="S33">
        <v>7432</v>
      </c>
      <c r="T33">
        <v>4797</v>
      </c>
      <c r="U33">
        <v>0</v>
      </c>
      <c r="V33">
        <v>2000</v>
      </c>
      <c r="W33">
        <v>31396</v>
      </c>
      <c r="X33">
        <v>45625</v>
      </c>
      <c r="Y33">
        <v>20645</v>
      </c>
      <c r="AA33">
        <v>20645</v>
      </c>
      <c r="AB33">
        <v>2728</v>
      </c>
      <c r="AC33">
        <v>13602</v>
      </c>
      <c r="AE33">
        <v>82600</v>
      </c>
      <c r="AF33">
        <v>51493.8</v>
      </c>
      <c r="AG33">
        <v>16872.25</v>
      </c>
      <c r="AH33">
        <v>17710</v>
      </c>
      <c r="AJ33">
        <v>3531</v>
      </c>
      <c r="AK33">
        <v>177</v>
      </c>
      <c r="AL33">
        <v>89784</v>
      </c>
      <c r="AM33">
        <v>172384</v>
      </c>
      <c r="AN33">
        <v>8239</v>
      </c>
    </row>
    <row r="34" spans="1:40" x14ac:dyDescent="0.35">
      <c r="A34" t="s">
        <v>58</v>
      </c>
      <c r="B34" s="1">
        <v>41639</v>
      </c>
      <c r="C34">
        <v>3804</v>
      </c>
      <c r="D34">
        <v>76775</v>
      </c>
      <c r="E34">
        <v>17486</v>
      </c>
      <c r="F34">
        <v>1938</v>
      </c>
      <c r="H34">
        <v>5267</v>
      </c>
      <c r="I34">
        <v>101466</v>
      </c>
      <c r="J34">
        <v>22504</v>
      </c>
      <c r="K34">
        <v>-12513</v>
      </c>
      <c r="L34">
        <v>9991</v>
      </c>
      <c r="M34">
        <v>14655</v>
      </c>
      <c r="N34">
        <v>3083</v>
      </c>
      <c r="O34">
        <v>10844</v>
      </c>
      <c r="Q34">
        <v>2392</v>
      </c>
      <c r="R34">
        <v>142431</v>
      </c>
      <c r="S34">
        <v>4828</v>
      </c>
      <c r="T34">
        <v>4117</v>
      </c>
      <c r="U34">
        <v>2999</v>
      </c>
      <c r="V34">
        <v>0</v>
      </c>
      <c r="W34">
        <v>25473</v>
      </c>
      <c r="X34">
        <v>37417</v>
      </c>
      <c r="Y34">
        <v>12601</v>
      </c>
      <c r="AA34">
        <v>12601</v>
      </c>
      <c r="AB34">
        <v>1709</v>
      </c>
      <c r="AC34">
        <v>11760</v>
      </c>
      <c r="AE34">
        <v>63487</v>
      </c>
      <c r="AF34">
        <v>52050</v>
      </c>
      <c r="AG34">
        <v>15256</v>
      </c>
      <c r="AH34">
        <v>9895</v>
      </c>
      <c r="AJ34">
        <v>1794</v>
      </c>
      <c r="AK34">
        <v>-51</v>
      </c>
      <c r="AL34">
        <v>78944</v>
      </c>
      <c r="AM34">
        <v>142431</v>
      </c>
      <c r="AN34">
        <v>8328</v>
      </c>
    </row>
    <row r="35" spans="1:40" x14ac:dyDescent="0.35">
      <c r="A35" t="s">
        <v>58</v>
      </c>
      <c r="B35" s="1">
        <v>41274</v>
      </c>
      <c r="C35">
        <v>6938</v>
      </c>
      <c r="D35">
        <v>63040</v>
      </c>
      <c r="E35">
        <v>15780</v>
      </c>
      <c r="F35">
        <v>1137</v>
      </c>
      <c r="H35">
        <v>5127</v>
      </c>
      <c r="I35">
        <v>85084</v>
      </c>
      <c r="J35">
        <v>19231</v>
      </c>
      <c r="K35">
        <v>-10962</v>
      </c>
      <c r="L35">
        <v>8269</v>
      </c>
      <c r="M35">
        <v>13452</v>
      </c>
      <c r="N35">
        <v>3170</v>
      </c>
      <c r="O35">
        <v>9776</v>
      </c>
      <c r="Q35">
        <v>1520</v>
      </c>
      <c r="R35">
        <v>121271</v>
      </c>
      <c r="S35">
        <v>4175</v>
      </c>
      <c r="T35">
        <v>3875</v>
      </c>
      <c r="U35">
        <v>1231</v>
      </c>
      <c r="V35">
        <v>0</v>
      </c>
      <c r="W35">
        <v>23407</v>
      </c>
      <c r="X35">
        <v>32688</v>
      </c>
      <c r="Y35">
        <v>10713</v>
      </c>
      <c r="AA35">
        <v>10713</v>
      </c>
      <c r="AB35">
        <v>1893</v>
      </c>
      <c r="AC35">
        <v>9614</v>
      </c>
      <c r="AE35">
        <v>54908</v>
      </c>
      <c r="AF35">
        <v>65797</v>
      </c>
      <c r="AH35">
        <v>-856</v>
      </c>
      <c r="AJ35">
        <v>1431</v>
      </c>
      <c r="AK35">
        <v>-9</v>
      </c>
      <c r="AL35">
        <v>66363</v>
      </c>
      <c r="AM35">
        <v>121271</v>
      </c>
      <c r="AN35">
        <v>8381</v>
      </c>
    </row>
    <row r="36" spans="1:40" x14ac:dyDescent="0.35">
      <c r="A36" t="s">
        <v>58</v>
      </c>
      <c r="B36" s="1">
        <v>40908</v>
      </c>
      <c r="C36">
        <v>9610</v>
      </c>
      <c r="D36">
        <v>52772</v>
      </c>
      <c r="E36">
        <v>14987</v>
      </c>
      <c r="F36">
        <v>1372</v>
      </c>
      <c r="H36">
        <v>5787</v>
      </c>
      <c r="I36">
        <v>74918</v>
      </c>
      <c r="J36">
        <v>17991</v>
      </c>
      <c r="K36">
        <v>-9829</v>
      </c>
      <c r="L36">
        <v>8162</v>
      </c>
      <c r="M36">
        <v>12581</v>
      </c>
      <c r="N36">
        <v>744</v>
      </c>
      <c r="O36">
        <v>10865</v>
      </c>
      <c r="Q36">
        <v>1434</v>
      </c>
      <c r="R36">
        <v>108704</v>
      </c>
      <c r="S36">
        <v>4197</v>
      </c>
      <c r="T36">
        <v>3575</v>
      </c>
      <c r="U36">
        <v>0</v>
      </c>
      <c r="V36">
        <v>0</v>
      </c>
      <c r="W36">
        <v>21002</v>
      </c>
      <c r="X36">
        <v>28774</v>
      </c>
      <c r="Y36">
        <v>11921</v>
      </c>
      <c r="AA36">
        <v>11921</v>
      </c>
      <c r="AB36">
        <v>1456</v>
      </c>
      <c r="AC36">
        <v>9470</v>
      </c>
      <c r="AE36">
        <v>51621</v>
      </c>
      <c r="AF36">
        <v>63415</v>
      </c>
      <c r="AH36">
        <v>-8195</v>
      </c>
      <c r="AJ36">
        <v>1821</v>
      </c>
      <c r="AK36">
        <v>42</v>
      </c>
      <c r="AL36">
        <v>57083</v>
      </c>
      <c r="AM36">
        <v>108704</v>
      </c>
      <c r="AN36">
        <v>8376</v>
      </c>
    </row>
    <row r="37" spans="1:40" x14ac:dyDescent="0.35">
      <c r="A37" t="s">
        <v>58</v>
      </c>
      <c r="B37" s="1">
        <v>40543</v>
      </c>
      <c r="C37">
        <v>5505</v>
      </c>
      <c r="D37">
        <v>36788</v>
      </c>
      <c r="E37">
        <v>13014</v>
      </c>
      <c r="F37">
        <v>740</v>
      </c>
      <c r="H37">
        <v>5134</v>
      </c>
      <c r="I37">
        <v>55676</v>
      </c>
      <c r="J37">
        <v>16259</v>
      </c>
      <c r="K37">
        <v>-8629</v>
      </c>
      <c r="L37">
        <v>7630</v>
      </c>
      <c r="M37">
        <v>12394</v>
      </c>
      <c r="N37">
        <v>1158</v>
      </c>
      <c r="O37">
        <v>7754</v>
      </c>
      <c r="Q37">
        <v>1501</v>
      </c>
      <c r="R37">
        <v>86113</v>
      </c>
      <c r="S37">
        <v>4025</v>
      </c>
      <c r="T37">
        <v>3283</v>
      </c>
      <c r="U37">
        <v>0</v>
      </c>
      <c r="V37">
        <v>1000</v>
      </c>
      <c r="W37">
        <v>17839</v>
      </c>
      <c r="X37">
        <v>26147</v>
      </c>
      <c r="Y37">
        <v>4939</v>
      </c>
      <c r="AA37">
        <v>4939</v>
      </c>
      <c r="AB37">
        <v>229</v>
      </c>
      <c r="AC37">
        <v>8623</v>
      </c>
      <c r="AE37">
        <v>39938</v>
      </c>
      <c r="AF37">
        <v>62856</v>
      </c>
      <c r="AH37">
        <v>-17736</v>
      </c>
      <c r="AJ37">
        <v>767</v>
      </c>
      <c r="AK37">
        <v>288</v>
      </c>
      <c r="AL37">
        <v>46175</v>
      </c>
      <c r="AM37">
        <v>86113</v>
      </c>
      <c r="AN37">
        <v>8668</v>
      </c>
    </row>
    <row r="38" spans="1:40" x14ac:dyDescent="0.35">
      <c r="A38" t="s">
        <v>58</v>
      </c>
      <c r="B38" s="1">
        <v>40178</v>
      </c>
      <c r="C38">
        <v>6076</v>
      </c>
      <c r="D38">
        <v>31447</v>
      </c>
      <c r="E38">
        <v>11192</v>
      </c>
      <c r="F38">
        <v>717</v>
      </c>
      <c r="H38">
        <v>5924</v>
      </c>
      <c r="I38">
        <v>49280</v>
      </c>
      <c r="J38">
        <v>15082</v>
      </c>
      <c r="K38">
        <v>-7547</v>
      </c>
      <c r="L38">
        <v>7535</v>
      </c>
      <c r="M38">
        <v>12503</v>
      </c>
      <c r="N38">
        <v>1759</v>
      </c>
      <c r="O38">
        <v>4933</v>
      </c>
      <c r="Q38">
        <v>1878</v>
      </c>
      <c r="R38">
        <v>77888</v>
      </c>
      <c r="S38">
        <v>3324</v>
      </c>
      <c r="T38">
        <v>3156</v>
      </c>
      <c r="U38">
        <v>0</v>
      </c>
      <c r="V38">
        <v>2000</v>
      </c>
      <c r="W38">
        <v>18554</v>
      </c>
      <c r="X38">
        <v>27034</v>
      </c>
      <c r="Y38">
        <v>3746</v>
      </c>
      <c r="AA38">
        <v>3746</v>
      </c>
      <c r="AB38">
        <v>0</v>
      </c>
      <c r="AC38">
        <v>7550</v>
      </c>
      <c r="AE38">
        <v>38330</v>
      </c>
      <c r="AF38">
        <v>62382</v>
      </c>
      <c r="AH38">
        <v>-23793</v>
      </c>
      <c r="AJ38">
        <v>502</v>
      </c>
      <c r="AK38">
        <v>467</v>
      </c>
      <c r="AL38">
        <v>39558</v>
      </c>
      <c r="AM38">
        <v>77888</v>
      </c>
      <c r="AN38">
        <v>8908</v>
      </c>
    </row>
    <row r="39" spans="1:40" x14ac:dyDescent="0.35">
      <c r="A39" t="s">
        <v>58</v>
      </c>
      <c r="B39" s="1">
        <v>39813</v>
      </c>
      <c r="C39">
        <v>10339</v>
      </c>
      <c r="D39">
        <v>23662</v>
      </c>
      <c r="E39">
        <v>13589</v>
      </c>
      <c r="F39">
        <v>985</v>
      </c>
      <c r="H39">
        <v>5006</v>
      </c>
      <c r="I39">
        <v>43242</v>
      </c>
      <c r="J39">
        <v>12544</v>
      </c>
      <c r="K39">
        <v>-6302</v>
      </c>
      <c r="L39">
        <v>6242</v>
      </c>
      <c r="M39">
        <v>12108</v>
      </c>
      <c r="N39">
        <v>1973</v>
      </c>
      <c r="O39">
        <v>6588</v>
      </c>
      <c r="Q39">
        <v>2640</v>
      </c>
      <c r="R39">
        <v>72793</v>
      </c>
      <c r="S39">
        <v>4034</v>
      </c>
      <c r="T39">
        <v>2934</v>
      </c>
      <c r="U39">
        <v>0</v>
      </c>
      <c r="V39">
        <v>0</v>
      </c>
      <c r="W39">
        <v>22918</v>
      </c>
      <c r="X39">
        <v>29886</v>
      </c>
      <c r="Y39">
        <v>0</v>
      </c>
      <c r="AA39">
        <v>0</v>
      </c>
      <c r="AC39">
        <v>6621</v>
      </c>
      <c r="AE39">
        <v>36507</v>
      </c>
      <c r="AF39">
        <v>62849</v>
      </c>
      <c r="AH39">
        <v>-27703</v>
      </c>
      <c r="AK39">
        <v>1140</v>
      </c>
      <c r="AL39">
        <v>36286</v>
      </c>
      <c r="AM39">
        <v>72793</v>
      </c>
      <c r="AN39">
        <v>9151</v>
      </c>
    </row>
    <row r="40" spans="1:40" x14ac:dyDescent="0.35">
      <c r="A40" t="s">
        <v>58</v>
      </c>
      <c r="B40" s="1">
        <v>39447</v>
      </c>
      <c r="C40">
        <v>6111</v>
      </c>
      <c r="D40">
        <v>23411</v>
      </c>
      <c r="E40">
        <v>11338</v>
      </c>
      <c r="F40">
        <v>1127</v>
      </c>
      <c r="H40">
        <v>4292</v>
      </c>
      <c r="I40">
        <v>40168</v>
      </c>
      <c r="J40">
        <v>9366</v>
      </c>
      <c r="K40">
        <v>-5016</v>
      </c>
      <c r="L40">
        <v>4350</v>
      </c>
      <c r="M40">
        <v>4760</v>
      </c>
      <c r="N40">
        <v>878</v>
      </c>
      <c r="O40">
        <v>10117</v>
      </c>
      <c r="Q40">
        <v>2898</v>
      </c>
      <c r="R40">
        <v>63171</v>
      </c>
      <c r="S40">
        <v>3247</v>
      </c>
      <c r="T40">
        <v>2325</v>
      </c>
      <c r="U40">
        <v>0</v>
      </c>
      <c r="V40">
        <v>0</v>
      </c>
      <c r="W40">
        <v>18182</v>
      </c>
      <c r="X40">
        <v>23754</v>
      </c>
      <c r="AA40">
        <v>0</v>
      </c>
      <c r="AC40">
        <v>8320</v>
      </c>
      <c r="AE40">
        <v>32074</v>
      </c>
      <c r="AF40">
        <v>60557</v>
      </c>
      <c r="AH40">
        <v>-31114</v>
      </c>
      <c r="AK40">
        <v>1654</v>
      </c>
      <c r="AL40">
        <v>31097</v>
      </c>
      <c r="AM40">
        <v>63171</v>
      </c>
      <c r="AN40">
        <v>9380</v>
      </c>
    </row>
    <row r="41" spans="1:40" x14ac:dyDescent="0.35">
      <c r="A41" t="s">
        <v>58</v>
      </c>
      <c r="B41" s="1">
        <v>39082</v>
      </c>
      <c r="C41">
        <v>6714</v>
      </c>
      <c r="D41">
        <v>34161</v>
      </c>
      <c r="E41">
        <v>9316</v>
      </c>
      <c r="F41">
        <v>1478</v>
      </c>
      <c r="H41">
        <v>4055</v>
      </c>
      <c r="I41">
        <v>49010</v>
      </c>
      <c r="J41">
        <v>7223</v>
      </c>
      <c r="K41">
        <v>-4179</v>
      </c>
      <c r="L41">
        <v>3044</v>
      </c>
      <c r="M41">
        <v>3866</v>
      </c>
      <c r="N41">
        <v>539</v>
      </c>
      <c r="O41">
        <v>9232</v>
      </c>
      <c r="Q41">
        <v>3906</v>
      </c>
      <c r="R41">
        <v>69597</v>
      </c>
      <c r="S41">
        <v>2909</v>
      </c>
      <c r="T41">
        <v>1938</v>
      </c>
      <c r="U41">
        <v>0</v>
      </c>
      <c r="V41">
        <v>0</v>
      </c>
      <c r="W41">
        <v>17595</v>
      </c>
      <c r="X41">
        <v>22442</v>
      </c>
      <c r="AA41">
        <v>0</v>
      </c>
      <c r="AC41">
        <v>7051</v>
      </c>
      <c r="AE41">
        <v>29493</v>
      </c>
      <c r="AF41">
        <v>59005</v>
      </c>
      <c r="AH41">
        <v>-20130</v>
      </c>
      <c r="AK41">
        <v>1229</v>
      </c>
      <c r="AL41">
        <v>40104</v>
      </c>
      <c r="AM41">
        <v>69597</v>
      </c>
      <c r="AN41">
        <v>10062</v>
      </c>
    </row>
    <row r="42" spans="1:40" x14ac:dyDescent="0.35">
      <c r="A42" t="s">
        <v>59</v>
      </c>
      <c r="B42" s="1">
        <v>46022</v>
      </c>
      <c r="C42">
        <v>30708</v>
      </c>
      <c r="D42">
        <v>126843</v>
      </c>
      <c r="E42">
        <v>62886</v>
      </c>
      <c r="H42">
        <v>16309</v>
      </c>
      <c r="I42">
        <v>206038</v>
      </c>
      <c r="J42">
        <v>360303</v>
      </c>
      <c r="K42">
        <v>-98485</v>
      </c>
      <c r="L42">
        <v>261818</v>
      </c>
      <c r="M42">
        <v>33380</v>
      </c>
      <c r="O42">
        <v>68687</v>
      </c>
      <c r="Q42">
        <v>25358</v>
      </c>
      <c r="R42">
        <v>595281</v>
      </c>
      <c r="S42">
        <v>12200</v>
      </c>
      <c r="T42">
        <v>53599</v>
      </c>
      <c r="U42">
        <v>2437</v>
      </c>
      <c r="V42">
        <v>0</v>
      </c>
      <c r="W42">
        <v>34509</v>
      </c>
      <c r="X42">
        <v>102745</v>
      </c>
      <c r="Y42">
        <v>46547</v>
      </c>
      <c r="Z42">
        <v>2059</v>
      </c>
      <c r="AA42">
        <v>48606</v>
      </c>
      <c r="AC42">
        <v>28665</v>
      </c>
      <c r="AE42">
        <v>180016</v>
      </c>
      <c r="AF42">
        <v>12.1</v>
      </c>
      <c r="AG42">
        <v>93113.911999999997</v>
      </c>
      <c r="AH42">
        <v>324055</v>
      </c>
      <c r="AJ42">
        <v>678</v>
      </c>
      <c r="AK42">
        <v>-2594</v>
      </c>
      <c r="AL42">
        <v>415265</v>
      </c>
      <c r="AM42">
        <v>595281</v>
      </c>
      <c r="AN42">
        <v>12088</v>
      </c>
    </row>
    <row r="43" spans="1:40" x14ac:dyDescent="0.35">
      <c r="A43" t="s">
        <v>59</v>
      </c>
      <c r="B43" s="1">
        <v>45657</v>
      </c>
      <c r="C43">
        <v>23466</v>
      </c>
      <c r="D43">
        <v>95657</v>
      </c>
      <c r="E43">
        <v>52340</v>
      </c>
      <c r="H43">
        <v>15714</v>
      </c>
      <c r="I43">
        <v>163711</v>
      </c>
      <c r="J43">
        <v>264014</v>
      </c>
      <c r="K43">
        <v>-79390</v>
      </c>
      <c r="L43">
        <v>184624</v>
      </c>
      <c r="M43">
        <v>31885</v>
      </c>
      <c r="O43">
        <v>37982</v>
      </c>
      <c r="Q43">
        <v>32054</v>
      </c>
      <c r="R43">
        <v>450256</v>
      </c>
      <c r="S43">
        <v>7987</v>
      </c>
      <c r="T43">
        <v>55836</v>
      </c>
      <c r="U43">
        <v>1234</v>
      </c>
      <c r="V43">
        <v>0</v>
      </c>
      <c r="W43">
        <v>24065</v>
      </c>
      <c r="X43">
        <v>89122</v>
      </c>
      <c r="Y43">
        <v>10883</v>
      </c>
      <c r="Z43">
        <v>1442</v>
      </c>
      <c r="AA43">
        <v>12325</v>
      </c>
      <c r="AC43">
        <v>23725</v>
      </c>
      <c r="AE43">
        <v>125172</v>
      </c>
      <c r="AF43">
        <v>12.2</v>
      </c>
      <c r="AG43">
        <v>84787.789000000004</v>
      </c>
      <c r="AH43">
        <v>245084</v>
      </c>
      <c r="AJ43">
        <v>-299</v>
      </c>
      <c r="AK43">
        <v>-4501</v>
      </c>
      <c r="AL43">
        <v>325084</v>
      </c>
      <c r="AM43">
        <v>450256</v>
      </c>
      <c r="AN43">
        <v>12211</v>
      </c>
    </row>
    <row r="44" spans="1:40" x14ac:dyDescent="0.35">
      <c r="A44" t="s">
        <v>59</v>
      </c>
      <c r="B44" s="1">
        <v>45291</v>
      </c>
      <c r="C44">
        <v>24048</v>
      </c>
      <c r="D44">
        <v>110916</v>
      </c>
      <c r="E44">
        <v>47964</v>
      </c>
      <c r="H44">
        <v>12650</v>
      </c>
      <c r="I44">
        <v>171530</v>
      </c>
      <c r="J44">
        <v>215894</v>
      </c>
      <c r="K44">
        <v>-67458</v>
      </c>
      <c r="L44">
        <v>148436</v>
      </c>
      <c r="M44">
        <v>29198</v>
      </c>
      <c r="O44">
        <v>31008</v>
      </c>
      <c r="Q44">
        <v>22220</v>
      </c>
      <c r="R44">
        <v>402392</v>
      </c>
      <c r="S44">
        <v>7493</v>
      </c>
      <c r="T44">
        <v>47672</v>
      </c>
      <c r="U44">
        <v>1363</v>
      </c>
      <c r="V44">
        <v>0</v>
      </c>
      <c r="W44">
        <v>25286</v>
      </c>
      <c r="X44">
        <v>81814</v>
      </c>
      <c r="Y44">
        <v>11870</v>
      </c>
      <c r="Z44">
        <v>1383</v>
      </c>
      <c r="AA44">
        <v>13253</v>
      </c>
      <c r="AB44">
        <v>485</v>
      </c>
      <c r="AC44">
        <v>23461</v>
      </c>
      <c r="AE44">
        <v>119013</v>
      </c>
      <c r="AF44">
        <v>12.5</v>
      </c>
      <c r="AG44">
        <v>76521.546000000002</v>
      </c>
      <c r="AH44">
        <v>211247</v>
      </c>
      <c r="AJ44">
        <v>-965</v>
      </c>
      <c r="AK44">
        <v>-3437</v>
      </c>
      <c r="AL44">
        <v>283379</v>
      </c>
      <c r="AM44">
        <v>402392</v>
      </c>
      <c r="AN44">
        <v>12460</v>
      </c>
    </row>
    <row r="45" spans="1:40" x14ac:dyDescent="0.35">
      <c r="A45" t="s">
        <v>59</v>
      </c>
      <c r="B45" s="1">
        <v>44926</v>
      </c>
      <c r="C45">
        <v>21879</v>
      </c>
      <c r="D45">
        <v>113762</v>
      </c>
      <c r="E45">
        <v>40258</v>
      </c>
      <c r="F45">
        <v>2670</v>
      </c>
      <c r="H45">
        <v>8105</v>
      </c>
      <c r="I45">
        <v>164795</v>
      </c>
      <c r="J45">
        <v>186091</v>
      </c>
      <c r="K45">
        <v>-59042</v>
      </c>
      <c r="L45">
        <v>127049</v>
      </c>
      <c r="M45">
        <v>28960</v>
      </c>
      <c r="N45">
        <v>2084</v>
      </c>
      <c r="O45">
        <v>30492</v>
      </c>
      <c r="Q45">
        <v>11884</v>
      </c>
      <c r="R45">
        <v>365264</v>
      </c>
      <c r="S45">
        <v>5128</v>
      </c>
      <c r="T45">
        <v>42490</v>
      </c>
      <c r="U45">
        <v>298</v>
      </c>
      <c r="V45">
        <v>0</v>
      </c>
      <c r="W45">
        <v>21384</v>
      </c>
      <c r="X45">
        <v>69300</v>
      </c>
      <c r="Y45">
        <v>12857</v>
      </c>
      <c r="Z45">
        <v>1844</v>
      </c>
      <c r="AA45">
        <v>14701</v>
      </c>
      <c r="AB45">
        <v>514</v>
      </c>
      <c r="AC45">
        <v>24605</v>
      </c>
      <c r="AE45">
        <v>109120</v>
      </c>
      <c r="AF45">
        <v>12.8</v>
      </c>
      <c r="AG45">
        <v>68171.150999999998</v>
      </c>
      <c r="AH45">
        <v>195563</v>
      </c>
      <c r="AJ45">
        <v>-3477</v>
      </c>
      <c r="AK45">
        <v>-4126</v>
      </c>
      <c r="AL45">
        <v>256144</v>
      </c>
      <c r="AM45">
        <v>365264</v>
      </c>
      <c r="AN45">
        <v>12849</v>
      </c>
    </row>
    <row r="46" spans="1:40" x14ac:dyDescent="0.35">
      <c r="A46" t="s">
        <v>59</v>
      </c>
      <c r="B46" s="1">
        <v>44561</v>
      </c>
      <c r="C46">
        <v>20945</v>
      </c>
      <c r="D46">
        <v>139649</v>
      </c>
      <c r="E46">
        <v>40270</v>
      </c>
      <c r="F46">
        <v>1170</v>
      </c>
      <c r="H46">
        <v>7054</v>
      </c>
      <c r="I46">
        <v>188143</v>
      </c>
      <c r="J46">
        <v>159971</v>
      </c>
      <c r="K46">
        <v>-49414</v>
      </c>
      <c r="L46">
        <v>110558</v>
      </c>
      <c r="M46">
        <v>22956</v>
      </c>
      <c r="N46">
        <v>1417</v>
      </c>
      <c r="O46">
        <v>29549</v>
      </c>
      <c r="Q46">
        <v>6645</v>
      </c>
      <c r="R46">
        <v>359268</v>
      </c>
      <c r="S46">
        <v>6037</v>
      </c>
      <c r="T46">
        <v>35213</v>
      </c>
      <c r="U46">
        <v>113</v>
      </c>
      <c r="V46">
        <v>0</v>
      </c>
      <c r="W46">
        <v>22891</v>
      </c>
      <c r="X46">
        <v>64254</v>
      </c>
      <c r="Y46">
        <v>12841</v>
      </c>
      <c r="Z46">
        <v>1976</v>
      </c>
      <c r="AA46">
        <v>14817</v>
      </c>
      <c r="AB46">
        <v>5257</v>
      </c>
      <c r="AC46">
        <v>23305</v>
      </c>
      <c r="AE46">
        <v>107633</v>
      </c>
      <c r="AF46">
        <v>0.7</v>
      </c>
      <c r="AG46">
        <v>61773.338000000003</v>
      </c>
      <c r="AH46">
        <v>191484</v>
      </c>
      <c r="AJ46">
        <v>236</v>
      </c>
      <c r="AK46">
        <v>-1859</v>
      </c>
      <c r="AL46">
        <v>251635.00099999999</v>
      </c>
      <c r="AM46">
        <v>359268.00099999999</v>
      </c>
      <c r="AN46">
        <v>13242</v>
      </c>
    </row>
    <row r="47" spans="1:40" x14ac:dyDescent="0.35">
      <c r="A47" t="s">
        <v>59</v>
      </c>
      <c r="B47" s="1">
        <v>44196</v>
      </c>
      <c r="C47">
        <v>26465</v>
      </c>
      <c r="D47">
        <v>136694</v>
      </c>
      <c r="E47">
        <v>31384</v>
      </c>
      <c r="F47">
        <v>728</v>
      </c>
      <c r="H47">
        <v>5490</v>
      </c>
      <c r="I47">
        <v>174296</v>
      </c>
      <c r="J47">
        <v>138673</v>
      </c>
      <c r="K47">
        <v>-41713</v>
      </c>
      <c r="L47">
        <v>96960</v>
      </c>
      <c r="M47">
        <v>21175</v>
      </c>
      <c r="N47">
        <v>1445</v>
      </c>
      <c r="O47">
        <v>20703</v>
      </c>
      <c r="Q47">
        <v>5037</v>
      </c>
      <c r="R47">
        <v>319616</v>
      </c>
      <c r="S47">
        <v>5589</v>
      </c>
      <c r="T47">
        <v>28208</v>
      </c>
      <c r="U47">
        <v>1100</v>
      </c>
      <c r="V47">
        <v>0</v>
      </c>
      <c r="W47">
        <v>21937</v>
      </c>
      <c r="X47">
        <v>56834</v>
      </c>
      <c r="Y47">
        <v>12832</v>
      </c>
      <c r="Z47">
        <v>1100</v>
      </c>
      <c r="AA47">
        <v>13932</v>
      </c>
      <c r="AB47">
        <v>3561</v>
      </c>
      <c r="AC47">
        <v>22745</v>
      </c>
      <c r="AE47">
        <v>97072</v>
      </c>
      <c r="AF47">
        <v>0.7</v>
      </c>
      <c r="AG47">
        <v>58509.324999999997</v>
      </c>
      <c r="AH47">
        <v>163401</v>
      </c>
      <c r="AJ47">
        <v>1612</v>
      </c>
      <c r="AK47">
        <v>-979</v>
      </c>
      <c r="AL47">
        <v>222544.00099999999</v>
      </c>
      <c r="AM47">
        <v>319616.00099999999</v>
      </c>
      <c r="AN47">
        <v>13504</v>
      </c>
    </row>
    <row r="48" spans="1:40" x14ac:dyDescent="0.35">
      <c r="A48" t="s">
        <v>59</v>
      </c>
      <c r="B48" s="1">
        <v>43830</v>
      </c>
      <c r="C48">
        <v>18498</v>
      </c>
      <c r="D48">
        <v>119675</v>
      </c>
      <c r="E48">
        <v>27492</v>
      </c>
      <c r="F48">
        <v>999</v>
      </c>
      <c r="H48">
        <v>4412</v>
      </c>
      <c r="I48">
        <v>152578</v>
      </c>
      <c r="J48">
        <v>115148</v>
      </c>
      <c r="K48">
        <v>-30561</v>
      </c>
      <c r="L48">
        <v>84587</v>
      </c>
      <c r="M48">
        <v>20624</v>
      </c>
      <c r="N48">
        <v>1979</v>
      </c>
      <c r="O48">
        <v>13078</v>
      </c>
      <c r="Q48">
        <v>3063</v>
      </c>
      <c r="R48">
        <v>275909</v>
      </c>
      <c r="S48">
        <v>5561</v>
      </c>
      <c r="T48">
        <v>19543</v>
      </c>
      <c r="U48">
        <v>0</v>
      </c>
      <c r="V48">
        <v>0</v>
      </c>
      <c r="W48">
        <v>20117</v>
      </c>
      <c r="X48">
        <v>45221</v>
      </c>
      <c r="Y48">
        <v>3869</v>
      </c>
      <c r="Z48">
        <v>685</v>
      </c>
      <c r="AA48">
        <v>4554</v>
      </c>
      <c r="AB48">
        <v>1701</v>
      </c>
      <c r="AC48">
        <v>22991</v>
      </c>
      <c r="AE48">
        <v>74467</v>
      </c>
      <c r="AF48">
        <v>0.7</v>
      </c>
      <c r="AG48">
        <v>50551.311999999998</v>
      </c>
      <c r="AH48">
        <v>152122</v>
      </c>
      <c r="AJ48">
        <v>812</v>
      </c>
      <c r="AK48">
        <v>-2044</v>
      </c>
      <c r="AL48">
        <v>201442</v>
      </c>
      <c r="AM48">
        <v>275909</v>
      </c>
      <c r="AN48">
        <v>13767</v>
      </c>
    </row>
    <row r="49" spans="1:40" x14ac:dyDescent="0.35">
      <c r="A49" t="s">
        <v>59</v>
      </c>
      <c r="B49" s="1">
        <v>43465</v>
      </c>
      <c r="C49">
        <v>16701</v>
      </c>
      <c r="D49">
        <v>109140</v>
      </c>
      <c r="E49">
        <v>21193</v>
      </c>
      <c r="F49">
        <v>1107</v>
      </c>
      <c r="H49">
        <v>4236</v>
      </c>
      <c r="I49">
        <v>135676</v>
      </c>
      <c r="J49">
        <v>82507</v>
      </c>
      <c r="K49">
        <v>-22788</v>
      </c>
      <c r="L49">
        <v>59719</v>
      </c>
      <c r="M49">
        <v>17888</v>
      </c>
      <c r="N49">
        <v>2220</v>
      </c>
      <c r="O49">
        <v>13859</v>
      </c>
      <c r="Q49">
        <v>3430</v>
      </c>
      <c r="R49">
        <v>232792</v>
      </c>
      <c r="S49">
        <v>4378</v>
      </c>
      <c r="T49">
        <v>14000</v>
      </c>
      <c r="U49">
        <v>0</v>
      </c>
      <c r="V49">
        <v>0</v>
      </c>
      <c r="W49">
        <v>16242</v>
      </c>
      <c r="X49">
        <v>34620</v>
      </c>
      <c r="Y49">
        <v>3950</v>
      </c>
      <c r="Z49">
        <v>62</v>
      </c>
      <c r="AA49">
        <v>4012</v>
      </c>
      <c r="AB49">
        <v>1264</v>
      </c>
      <c r="AC49">
        <v>15268</v>
      </c>
      <c r="AE49">
        <v>55164</v>
      </c>
      <c r="AF49">
        <v>0.7</v>
      </c>
      <c r="AG49">
        <v>45048.303999999996</v>
      </c>
      <c r="AH49">
        <v>134885</v>
      </c>
      <c r="AJ49">
        <v>-688</v>
      </c>
      <c r="AK49">
        <v>-1618</v>
      </c>
      <c r="AL49">
        <v>177628</v>
      </c>
      <c r="AM49">
        <v>232792</v>
      </c>
      <c r="AN49">
        <v>13911</v>
      </c>
    </row>
    <row r="50" spans="1:40" x14ac:dyDescent="0.35">
      <c r="A50" t="s">
        <v>59</v>
      </c>
      <c r="B50" s="1">
        <v>43100</v>
      </c>
      <c r="C50">
        <v>3557</v>
      </c>
      <c r="D50">
        <v>101871</v>
      </c>
      <c r="E50">
        <v>18705</v>
      </c>
      <c r="F50">
        <v>749</v>
      </c>
      <c r="H50">
        <v>2983</v>
      </c>
      <c r="I50">
        <v>124308</v>
      </c>
      <c r="J50">
        <v>59647</v>
      </c>
      <c r="K50">
        <v>-17264</v>
      </c>
      <c r="L50">
        <v>42383</v>
      </c>
      <c r="M50">
        <v>16747</v>
      </c>
      <c r="N50">
        <v>2692</v>
      </c>
      <c r="O50">
        <v>7813</v>
      </c>
      <c r="Q50">
        <v>3352</v>
      </c>
      <c r="R50">
        <v>197295</v>
      </c>
      <c r="S50">
        <v>3137</v>
      </c>
      <c r="T50">
        <v>14406</v>
      </c>
      <c r="U50">
        <v>0</v>
      </c>
      <c r="V50">
        <v>0</v>
      </c>
      <c r="W50">
        <v>6640</v>
      </c>
      <c r="X50">
        <v>24183</v>
      </c>
      <c r="Y50">
        <v>3943</v>
      </c>
      <c r="Z50">
        <v>26</v>
      </c>
      <c r="AA50">
        <v>3969</v>
      </c>
      <c r="AB50">
        <v>430</v>
      </c>
      <c r="AC50">
        <v>16211</v>
      </c>
      <c r="AE50">
        <v>44793</v>
      </c>
      <c r="AF50">
        <v>0.7</v>
      </c>
      <c r="AG50">
        <v>40246.305</v>
      </c>
      <c r="AH50">
        <v>113247</v>
      </c>
      <c r="AJ50">
        <v>233</v>
      </c>
      <c r="AK50">
        <v>-1225</v>
      </c>
      <c r="AL50">
        <v>152501.99900000001</v>
      </c>
      <c r="AM50">
        <v>197294.99900000001</v>
      </c>
      <c r="AN50">
        <v>13896</v>
      </c>
    </row>
    <row r="51" spans="1:40" x14ac:dyDescent="0.35">
      <c r="A51" t="s">
        <v>59</v>
      </c>
      <c r="B51" s="1">
        <v>42735</v>
      </c>
      <c r="C51">
        <v>5840</v>
      </c>
      <c r="D51">
        <v>86333</v>
      </c>
      <c r="E51">
        <v>14232</v>
      </c>
      <c r="F51">
        <v>268</v>
      </c>
      <c r="G51">
        <v>3979</v>
      </c>
      <c r="H51">
        <v>596</v>
      </c>
      <c r="I51">
        <v>105408</v>
      </c>
      <c r="J51">
        <v>47527</v>
      </c>
      <c r="K51">
        <v>-13293</v>
      </c>
      <c r="L51">
        <v>34234</v>
      </c>
      <c r="M51">
        <v>16468</v>
      </c>
      <c r="N51">
        <v>3307</v>
      </c>
      <c r="O51">
        <v>5878</v>
      </c>
      <c r="Q51">
        <v>2202</v>
      </c>
      <c r="R51">
        <v>167497</v>
      </c>
      <c r="S51">
        <v>2041</v>
      </c>
      <c r="T51">
        <v>10107</v>
      </c>
      <c r="U51">
        <v>0</v>
      </c>
      <c r="V51">
        <v>0</v>
      </c>
      <c r="W51">
        <v>4608</v>
      </c>
      <c r="X51">
        <v>16756</v>
      </c>
      <c r="Y51">
        <v>3935</v>
      </c>
      <c r="AA51">
        <v>3935</v>
      </c>
      <c r="AB51">
        <v>226</v>
      </c>
      <c r="AC51">
        <v>7544</v>
      </c>
      <c r="AE51">
        <v>28461</v>
      </c>
      <c r="AF51">
        <v>0.7</v>
      </c>
      <c r="AG51">
        <v>36306.309000000001</v>
      </c>
      <c r="AH51">
        <v>105131</v>
      </c>
      <c r="AJ51">
        <v>-179</v>
      </c>
      <c r="AK51">
        <v>-2223</v>
      </c>
      <c r="AL51">
        <v>139036</v>
      </c>
      <c r="AM51">
        <v>167497</v>
      </c>
      <c r="AN51">
        <v>13826</v>
      </c>
    </row>
    <row r="52" spans="1:40" x14ac:dyDescent="0.35">
      <c r="A52" t="s">
        <v>59</v>
      </c>
      <c r="B52" s="1">
        <v>42369</v>
      </c>
      <c r="C52">
        <v>9169</v>
      </c>
      <c r="D52">
        <v>73066</v>
      </c>
      <c r="E52">
        <v>13909</v>
      </c>
      <c r="G52">
        <v>2511</v>
      </c>
      <c r="H52">
        <v>628</v>
      </c>
      <c r="I52">
        <v>90114</v>
      </c>
      <c r="J52">
        <v>40146</v>
      </c>
      <c r="K52">
        <v>-11130</v>
      </c>
      <c r="L52">
        <v>29016</v>
      </c>
      <c r="M52">
        <v>15869</v>
      </c>
      <c r="N52">
        <v>3847</v>
      </c>
      <c r="O52">
        <v>5183</v>
      </c>
      <c r="Q52">
        <v>3432</v>
      </c>
      <c r="R52">
        <v>147461</v>
      </c>
      <c r="S52">
        <v>1931</v>
      </c>
      <c r="T52">
        <v>8293</v>
      </c>
      <c r="U52">
        <v>1225</v>
      </c>
      <c r="V52">
        <v>2000</v>
      </c>
      <c r="W52">
        <v>5861</v>
      </c>
      <c r="X52">
        <v>19310</v>
      </c>
      <c r="Y52">
        <v>1995</v>
      </c>
      <c r="Z52">
        <v>0</v>
      </c>
      <c r="AA52">
        <v>1995</v>
      </c>
      <c r="AB52">
        <v>189</v>
      </c>
      <c r="AC52">
        <v>5636</v>
      </c>
      <c r="AE52">
        <v>27130</v>
      </c>
      <c r="AF52">
        <v>0.7</v>
      </c>
      <c r="AG52">
        <v>32981.313000000002</v>
      </c>
      <c r="AH52">
        <v>89223</v>
      </c>
      <c r="AJ52">
        <v>-86</v>
      </c>
      <c r="AK52">
        <v>-1788</v>
      </c>
      <c r="AL52">
        <v>120331</v>
      </c>
      <c r="AM52">
        <v>147461</v>
      </c>
      <c r="AN52">
        <v>13747</v>
      </c>
    </row>
    <row r="53" spans="1:40" x14ac:dyDescent="0.35">
      <c r="A53" t="s">
        <v>59</v>
      </c>
      <c r="B53" s="1">
        <v>42004</v>
      </c>
      <c r="C53">
        <v>8484</v>
      </c>
      <c r="D53">
        <v>64395</v>
      </c>
      <c r="E53">
        <v>10849</v>
      </c>
      <c r="G53">
        <v>2560</v>
      </c>
      <c r="H53">
        <v>852</v>
      </c>
      <c r="I53">
        <v>78656</v>
      </c>
      <c r="J53">
        <v>32746</v>
      </c>
      <c r="K53">
        <v>-8863</v>
      </c>
      <c r="L53">
        <v>23883</v>
      </c>
      <c r="M53">
        <v>15599</v>
      </c>
      <c r="N53">
        <v>4607</v>
      </c>
      <c r="O53">
        <v>3079</v>
      </c>
      <c r="Q53">
        <v>3363</v>
      </c>
      <c r="R53">
        <v>129187</v>
      </c>
      <c r="S53">
        <v>1715</v>
      </c>
      <c r="T53">
        <v>7473</v>
      </c>
      <c r="U53">
        <v>9</v>
      </c>
      <c r="V53">
        <v>2000</v>
      </c>
      <c r="W53">
        <v>5582</v>
      </c>
      <c r="X53">
        <v>16779</v>
      </c>
      <c r="Y53">
        <v>2992</v>
      </c>
      <c r="Z53">
        <v>236</v>
      </c>
      <c r="AA53">
        <v>3228</v>
      </c>
      <c r="AB53">
        <v>758</v>
      </c>
      <c r="AC53">
        <v>4562</v>
      </c>
      <c r="AE53">
        <v>25327</v>
      </c>
      <c r="AF53">
        <v>0.7</v>
      </c>
      <c r="AG53">
        <v>28766.32</v>
      </c>
      <c r="AH53">
        <v>75066</v>
      </c>
      <c r="AJ53">
        <v>421</v>
      </c>
      <c r="AK53">
        <v>-394</v>
      </c>
      <c r="AL53">
        <v>103860</v>
      </c>
      <c r="AM53">
        <v>129187</v>
      </c>
      <c r="AN53">
        <v>13603</v>
      </c>
    </row>
    <row r="54" spans="1:40" x14ac:dyDescent="0.35">
      <c r="A54" t="s">
        <v>59</v>
      </c>
      <c r="B54" s="1">
        <v>41639</v>
      </c>
      <c r="C54">
        <v>8989</v>
      </c>
      <c r="D54">
        <v>58717</v>
      </c>
      <c r="E54">
        <v>9390</v>
      </c>
      <c r="F54">
        <v>426</v>
      </c>
      <c r="G54">
        <v>2595</v>
      </c>
      <c r="H54">
        <v>1758</v>
      </c>
      <c r="I54">
        <v>72886</v>
      </c>
      <c r="J54">
        <v>23837</v>
      </c>
      <c r="K54">
        <v>-7313</v>
      </c>
      <c r="L54">
        <v>16524</v>
      </c>
      <c r="M54">
        <v>11492</v>
      </c>
      <c r="N54">
        <v>6066</v>
      </c>
      <c r="O54">
        <v>1976</v>
      </c>
      <c r="Q54">
        <v>1976</v>
      </c>
      <c r="R54">
        <v>110920</v>
      </c>
      <c r="S54">
        <v>2453</v>
      </c>
      <c r="T54">
        <v>6253</v>
      </c>
      <c r="U54">
        <v>9</v>
      </c>
      <c r="V54">
        <v>3000</v>
      </c>
      <c r="W54">
        <v>4193</v>
      </c>
      <c r="X54">
        <v>15908</v>
      </c>
      <c r="Y54">
        <v>1990</v>
      </c>
      <c r="Z54">
        <v>246</v>
      </c>
      <c r="AA54">
        <v>2236</v>
      </c>
      <c r="AB54">
        <v>1947</v>
      </c>
      <c r="AC54">
        <v>3520</v>
      </c>
      <c r="AE54">
        <v>23611</v>
      </c>
      <c r="AF54">
        <v>0.3</v>
      </c>
      <c r="AG54">
        <v>25921.67</v>
      </c>
      <c r="AH54">
        <v>61262</v>
      </c>
      <c r="AJ54">
        <v>50</v>
      </c>
      <c r="AK54">
        <v>75</v>
      </c>
      <c r="AL54">
        <v>87309</v>
      </c>
      <c r="AM54">
        <v>110920</v>
      </c>
      <c r="AN54">
        <v>13420</v>
      </c>
    </row>
    <row r="55" spans="1:40" x14ac:dyDescent="0.35">
      <c r="A55" t="s">
        <v>59</v>
      </c>
      <c r="B55" s="1">
        <v>41274</v>
      </c>
      <c r="C55">
        <v>6712</v>
      </c>
      <c r="D55">
        <v>48088</v>
      </c>
      <c r="E55">
        <v>8585</v>
      </c>
      <c r="F55">
        <v>505</v>
      </c>
      <c r="G55">
        <v>2132</v>
      </c>
      <c r="H55">
        <v>1144</v>
      </c>
      <c r="I55">
        <v>60454</v>
      </c>
      <c r="J55">
        <v>17697</v>
      </c>
      <c r="K55">
        <v>-5843</v>
      </c>
      <c r="L55">
        <v>11854</v>
      </c>
      <c r="M55">
        <v>10537</v>
      </c>
      <c r="N55">
        <v>7473</v>
      </c>
      <c r="O55">
        <v>1469</v>
      </c>
      <c r="Q55">
        <v>2011</v>
      </c>
      <c r="R55">
        <v>93798</v>
      </c>
      <c r="S55">
        <v>2012</v>
      </c>
      <c r="T55">
        <v>5497</v>
      </c>
      <c r="U55">
        <v>2549</v>
      </c>
      <c r="V55">
        <v>0</v>
      </c>
      <c r="W55">
        <v>4279</v>
      </c>
      <c r="X55">
        <v>14337</v>
      </c>
      <c r="Y55">
        <v>2988</v>
      </c>
      <c r="AA55">
        <v>2988</v>
      </c>
      <c r="AB55">
        <v>1872</v>
      </c>
      <c r="AC55">
        <v>2886</v>
      </c>
      <c r="AE55">
        <v>22083</v>
      </c>
      <c r="AF55">
        <v>0.3</v>
      </c>
      <c r="AG55">
        <v>22834.67</v>
      </c>
      <c r="AH55">
        <v>48342</v>
      </c>
      <c r="AJ55">
        <v>604</v>
      </c>
      <c r="AK55">
        <v>-66</v>
      </c>
      <c r="AL55">
        <v>71715</v>
      </c>
      <c r="AM55">
        <v>93798</v>
      </c>
      <c r="AN55">
        <v>13199</v>
      </c>
    </row>
    <row r="56" spans="1:40" x14ac:dyDescent="0.35">
      <c r="A56" t="s">
        <v>59</v>
      </c>
      <c r="B56" s="1">
        <v>40908</v>
      </c>
      <c r="C56">
        <v>4712</v>
      </c>
      <c r="D56">
        <v>44626</v>
      </c>
      <c r="E56">
        <v>6172</v>
      </c>
      <c r="G56">
        <v>1745</v>
      </c>
      <c r="H56">
        <v>215</v>
      </c>
      <c r="I56">
        <v>52758</v>
      </c>
      <c r="J56">
        <v>14400</v>
      </c>
      <c r="K56">
        <v>-4797</v>
      </c>
      <c r="L56">
        <v>9603</v>
      </c>
      <c r="M56">
        <v>7346</v>
      </c>
      <c r="N56">
        <v>1578</v>
      </c>
      <c r="O56">
        <v>790</v>
      </c>
      <c r="Q56">
        <v>499</v>
      </c>
      <c r="R56">
        <v>72574</v>
      </c>
      <c r="S56">
        <v>588</v>
      </c>
      <c r="T56">
        <v>3188</v>
      </c>
      <c r="U56">
        <v>1218</v>
      </c>
      <c r="V56">
        <v>0</v>
      </c>
      <c r="W56">
        <v>3919</v>
      </c>
      <c r="X56">
        <v>8913</v>
      </c>
      <c r="Y56">
        <v>2986</v>
      </c>
      <c r="AA56">
        <v>2986</v>
      </c>
      <c r="AB56">
        <v>287</v>
      </c>
      <c r="AC56">
        <v>2243</v>
      </c>
      <c r="AE56">
        <v>14429</v>
      </c>
      <c r="AF56">
        <v>0.3</v>
      </c>
      <c r="AG56">
        <v>20263.674999999999</v>
      </c>
      <c r="AH56">
        <v>37605</v>
      </c>
      <c r="AJ56">
        <v>327</v>
      </c>
      <c r="AK56">
        <v>-51</v>
      </c>
      <c r="AL56">
        <v>58145</v>
      </c>
      <c r="AM56">
        <v>72574</v>
      </c>
      <c r="AN56">
        <v>12996</v>
      </c>
    </row>
    <row r="57" spans="1:40" x14ac:dyDescent="0.35">
      <c r="A57" t="s">
        <v>59</v>
      </c>
      <c r="B57" s="1">
        <v>40543</v>
      </c>
      <c r="C57">
        <v>4652</v>
      </c>
      <c r="D57">
        <v>34975</v>
      </c>
      <c r="E57">
        <v>5002</v>
      </c>
      <c r="G57">
        <v>1326</v>
      </c>
      <c r="H57">
        <v>259</v>
      </c>
      <c r="I57">
        <v>41562</v>
      </c>
      <c r="J57">
        <v>11771</v>
      </c>
      <c r="K57">
        <v>-4012</v>
      </c>
      <c r="L57">
        <v>7759</v>
      </c>
      <c r="M57">
        <v>6256</v>
      </c>
      <c r="N57">
        <v>1044</v>
      </c>
      <c r="O57">
        <v>523</v>
      </c>
      <c r="Q57">
        <v>707</v>
      </c>
      <c r="R57">
        <v>57851</v>
      </c>
      <c r="S57">
        <v>483</v>
      </c>
      <c r="T57">
        <v>2371</v>
      </c>
      <c r="U57">
        <v>3465</v>
      </c>
      <c r="V57">
        <v>0</v>
      </c>
      <c r="W57">
        <v>3677</v>
      </c>
      <c r="X57">
        <v>9996</v>
      </c>
      <c r="Y57">
        <v>0</v>
      </c>
      <c r="AA57">
        <v>0</v>
      </c>
      <c r="AB57">
        <v>0</v>
      </c>
      <c r="AC57">
        <v>1614</v>
      </c>
      <c r="AE57">
        <v>11610</v>
      </c>
      <c r="AF57">
        <v>0.3</v>
      </c>
      <c r="AG57">
        <v>18234.679</v>
      </c>
      <c r="AH57">
        <v>27868</v>
      </c>
      <c r="AJ57">
        <v>94</v>
      </c>
      <c r="AK57">
        <v>44</v>
      </c>
      <c r="AL57">
        <v>46241</v>
      </c>
      <c r="AM57">
        <v>57851</v>
      </c>
      <c r="AN57">
        <v>12852</v>
      </c>
    </row>
    <row r="58" spans="1:40" x14ac:dyDescent="0.35">
      <c r="A58" t="s">
        <v>59</v>
      </c>
      <c r="B58" s="1">
        <v>40178</v>
      </c>
      <c r="C58">
        <v>4302.5780000000004</v>
      </c>
      <c r="D58">
        <v>24484.775000000001</v>
      </c>
      <c r="E58">
        <v>3201.7150000000001</v>
      </c>
      <c r="G58">
        <v>836.1</v>
      </c>
      <c r="H58">
        <v>644.4</v>
      </c>
      <c r="I58">
        <v>29166.957999999999</v>
      </c>
      <c r="J58">
        <v>8130.1</v>
      </c>
      <c r="K58">
        <v>-3285.5239999999999</v>
      </c>
      <c r="L58">
        <v>4844.6000000000004</v>
      </c>
      <c r="M58">
        <v>4902.5649999999996</v>
      </c>
      <c r="N58">
        <v>774.93799999999999</v>
      </c>
      <c r="O58">
        <v>129</v>
      </c>
      <c r="Q58">
        <v>678.7</v>
      </c>
      <c r="R58">
        <v>40496.777999999998</v>
      </c>
      <c r="S58">
        <v>215.86699999999999</v>
      </c>
      <c r="T58">
        <v>1552.6</v>
      </c>
      <c r="U58">
        <v>0</v>
      </c>
      <c r="V58">
        <v>0</v>
      </c>
      <c r="W58">
        <v>979</v>
      </c>
      <c r="X58">
        <v>2747.4670000000001</v>
      </c>
      <c r="AA58">
        <v>0</v>
      </c>
      <c r="AB58">
        <v>0</v>
      </c>
      <c r="AC58">
        <v>1745.1</v>
      </c>
      <c r="AE58">
        <v>4492.5540000000001</v>
      </c>
      <c r="AF58">
        <v>0.3</v>
      </c>
      <c r="AG58">
        <v>15816.737999999999</v>
      </c>
      <c r="AH58">
        <v>20082.078000000001</v>
      </c>
      <c r="AK58">
        <v>105.09</v>
      </c>
      <c r="AL58">
        <v>36004.224000000002</v>
      </c>
      <c r="AM58">
        <v>40496.777999999998</v>
      </c>
      <c r="AN58">
        <v>12711</v>
      </c>
    </row>
    <row r="59" spans="1:40" x14ac:dyDescent="0.35">
      <c r="A59" t="s">
        <v>59</v>
      </c>
      <c r="B59" s="1">
        <v>39813</v>
      </c>
      <c r="C59">
        <v>3330.6579999999999</v>
      </c>
      <c r="D59">
        <v>15845.771000000001</v>
      </c>
      <c r="E59">
        <v>2642.192</v>
      </c>
      <c r="G59">
        <v>1404.1</v>
      </c>
      <c r="H59">
        <v>286.10000000000002</v>
      </c>
      <c r="I59">
        <v>20178.182000000001</v>
      </c>
      <c r="J59">
        <v>7576.3</v>
      </c>
      <c r="K59">
        <v>-2342.498</v>
      </c>
      <c r="L59">
        <v>5233.8</v>
      </c>
      <c r="M59">
        <v>4839.8540000000003</v>
      </c>
      <c r="N59">
        <v>996.69</v>
      </c>
      <c r="O59">
        <v>85.2</v>
      </c>
      <c r="Q59">
        <v>433.8</v>
      </c>
      <c r="R59">
        <v>31767.575000000001</v>
      </c>
      <c r="S59">
        <v>178.00399999999999</v>
      </c>
      <c r="T59">
        <v>1291.9000000000001</v>
      </c>
      <c r="U59">
        <v>0</v>
      </c>
      <c r="V59">
        <v>0</v>
      </c>
      <c r="W59">
        <v>832.2</v>
      </c>
      <c r="X59">
        <v>2302.09</v>
      </c>
      <c r="AA59">
        <v>0</v>
      </c>
      <c r="AB59">
        <v>12.515000000000001</v>
      </c>
      <c r="AC59">
        <v>1214.0999999999999</v>
      </c>
      <c r="AE59">
        <v>3528.7130000000002</v>
      </c>
      <c r="AF59">
        <v>0.3</v>
      </c>
      <c r="AG59">
        <v>14450.338</v>
      </c>
      <c r="AH59">
        <v>13561.63</v>
      </c>
      <c r="AK59">
        <v>226.57900000000001</v>
      </c>
      <c r="AL59">
        <v>28238.862000000001</v>
      </c>
      <c r="AM59">
        <v>31767.575000000001</v>
      </c>
      <c r="AN59">
        <v>12605</v>
      </c>
    </row>
    <row r="60" spans="1:40" x14ac:dyDescent="0.35">
      <c r="A60" t="s">
        <v>59</v>
      </c>
      <c r="B60" s="1">
        <v>39447</v>
      </c>
      <c r="C60">
        <v>2869.5279999999998</v>
      </c>
      <c r="D60">
        <v>14218.612999999999</v>
      </c>
      <c r="E60">
        <v>2307.7739999999999</v>
      </c>
      <c r="G60">
        <v>694.2</v>
      </c>
      <c r="H60">
        <v>68.5</v>
      </c>
      <c r="I60">
        <v>17289.137999999999</v>
      </c>
      <c r="J60">
        <v>5519.9</v>
      </c>
      <c r="K60">
        <v>-1480.6510000000001</v>
      </c>
      <c r="L60">
        <v>4039.3</v>
      </c>
      <c r="M60">
        <v>2299.3679999999999</v>
      </c>
      <c r="N60">
        <v>446.596</v>
      </c>
      <c r="O60">
        <v>1059.7</v>
      </c>
      <c r="Q60">
        <v>201.7</v>
      </c>
      <c r="R60">
        <v>25335.806</v>
      </c>
      <c r="S60">
        <v>282.10599999999999</v>
      </c>
      <c r="T60">
        <v>1053.4000000000001</v>
      </c>
      <c r="U60">
        <v>0</v>
      </c>
      <c r="V60">
        <v>0</v>
      </c>
      <c r="W60">
        <v>700.1</v>
      </c>
      <c r="X60">
        <v>2035.6020000000001</v>
      </c>
      <c r="AA60">
        <v>0</v>
      </c>
      <c r="AB60">
        <v>0</v>
      </c>
      <c r="AC60">
        <v>610.5</v>
      </c>
      <c r="AE60">
        <v>2646.127</v>
      </c>
      <c r="AF60">
        <v>0.3</v>
      </c>
      <c r="AG60">
        <v>13241.221</v>
      </c>
      <c r="AH60">
        <v>9334.7720000000008</v>
      </c>
      <c r="AK60">
        <v>113.373</v>
      </c>
      <c r="AL60">
        <v>22689.679</v>
      </c>
      <c r="AM60">
        <v>25335.806</v>
      </c>
      <c r="AN60">
        <v>12531</v>
      </c>
    </row>
    <row r="61" spans="1:40" x14ac:dyDescent="0.35">
      <c r="A61" t="s">
        <v>59</v>
      </c>
      <c r="B61" s="1">
        <v>39082</v>
      </c>
      <c r="C61">
        <v>2996.6030000000001</v>
      </c>
      <c r="D61">
        <v>11243.914000000001</v>
      </c>
      <c r="E61">
        <v>1322.34</v>
      </c>
      <c r="G61">
        <v>443.9</v>
      </c>
      <c r="H61">
        <v>29.7</v>
      </c>
      <c r="I61">
        <v>13039.847</v>
      </c>
      <c r="J61">
        <v>3289.6</v>
      </c>
      <c r="K61">
        <v>-894.35500000000002</v>
      </c>
      <c r="L61">
        <v>2395.1999999999998</v>
      </c>
      <c r="M61">
        <v>1545.1189999999999</v>
      </c>
      <c r="N61">
        <v>346.84100000000001</v>
      </c>
      <c r="O61">
        <v>1031.8</v>
      </c>
      <c r="Q61">
        <v>114.5</v>
      </c>
      <c r="R61">
        <v>18473.350999999999</v>
      </c>
      <c r="S61">
        <v>211.16900000000001</v>
      </c>
      <c r="T61">
        <v>617.5</v>
      </c>
      <c r="U61">
        <v>0</v>
      </c>
      <c r="V61">
        <v>0</v>
      </c>
      <c r="W61">
        <v>475.9</v>
      </c>
      <c r="X61">
        <v>1304.587</v>
      </c>
      <c r="AA61">
        <v>0</v>
      </c>
      <c r="AB61">
        <v>40.420999999999999</v>
      </c>
      <c r="AC61">
        <v>88.5</v>
      </c>
      <c r="AE61">
        <v>1433.511</v>
      </c>
      <c r="AF61">
        <v>0.3</v>
      </c>
      <c r="AG61">
        <v>11882.906000000001</v>
      </c>
      <c r="AH61">
        <v>5133.3140000000003</v>
      </c>
      <c r="AK61">
        <v>23.311</v>
      </c>
      <c r="AL61">
        <v>17039.84</v>
      </c>
      <c r="AM61">
        <v>18473.350999999999</v>
      </c>
      <c r="AN61">
        <v>12360</v>
      </c>
    </row>
    <row r="62" spans="1:40" x14ac:dyDescent="0.35">
      <c r="A62" t="s">
        <v>60</v>
      </c>
      <c r="B62" s="1">
        <v>46022</v>
      </c>
      <c r="C62">
        <v>31482</v>
      </c>
      <c r="D62">
        <v>81592</v>
      </c>
      <c r="E62">
        <v>19769</v>
      </c>
      <c r="G62">
        <v>6524</v>
      </c>
      <c r="H62">
        <v>837</v>
      </c>
      <c r="I62">
        <v>108722</v>
      </c>
      <c r="J62">
        <v>254130</v>
      </c>
      <c r="K62">
        <v>-57326</v>
      </c>
      <c r="L62">
        <v>196804</v>
      </c>
      <c r="M62">
        <v>24534</v>
      </c>
      <c r="N62">
        <v>3692</v>
      </c>
      <c r="O62">
        <v>27524</v>
      </c>
      <c r="Q62">
        <v>4745</v>
      </c>
      <c r="R62">
        <v>366021</v>
      </c>
      <c r="S62">
        <v>8894</v>
      </c>
      <c r="T62">
        <v>20633</v>
      </c>
      <c r="U62">
        <v>308</v>
      </c>
      <c r="V62">
        <v>0</v>
      </c>
      <c r="W62">
        <v>12001</v>
      </c>
      <c r="X62">
        <v>41836</v>
      </c>
      <c r="Y62">
        <v>58744</v>
      </c>
      <c r="Z62">
        <v>876</v>
      </c>
      <c r="AA62">
        <v>59620</v>
      </c>
      <c r="AC62">
        <v>47322</v>
      </c>
      <c r="AE62">
        <v>148778</v>
      </c>
      <c r="AF62">
        <v>0</v>
      </c>
      <c r="AG62">
        <v>95793</v>
      </c>
      <c r="AH62">
        <v>121179</v>
      </c>
      <c r="AK62">
        <v>270.98500000000001</v>
      </c>
      <c r="AL62">
        <v>217243</v>
      </c>
      <c r="AM62">
        <v>366021</v>
      </c>
      <c r="AN62">
        <v>2530</v>
      </c>
    </row>
    <row r="63" spans="1:40" x14ac:dyDescent="0.35">
      <c r="A63" t="s">
        <v>60</v>
      </c>
      <c r="B63" s="1">
        <v>45657</v>
      </c>
      <c r="C63">
        <v>36671</v>
      </c>
      <c r="D63">
        <v>77815</v>
      </c>
      <c r="E63">
        <v>16994</v>
      </c>
      <c r="G63">
        <v>4883</v>
      </c>
      <c r="H63">
        <v>353</v>
      </c>
      <c r="I63">
        <v>100045</v>
      </c>
      <c r="J63">
        <v>179585</v>
      </c>
      <c r="K63">
        <v>-43317</v>
      </c>
      <c r="L63">
        <v>136268</v>
      </c>
      <c r="M63">
        <v>20654</v>
      </c>
      <c r="N63">
        <v>915</v>
      </c>
      <c r="O63">
        <v>6070</v>
      </c>
      <c r="Q63">
        <v>12102</v>
      </c>
      <c r="R63">
        <v>276054</v>
      </c>
      <c r="S63">
        <v>7687</v>
      </c>
      <c r="T63">
        <v>16397</v>
      </c>
      <c r="U63">
        <v>76</v>
      </c>
      <c r="V63">
        <v>0</v>
      </c>
      <c r="W63">
        <v>9436</v>
      </c>
      <c r="X63">
        <v>33596</v>
      </c>
      <c r="Y63">
        <v>28826</v>
      </c>
      <c r="Z63">
        <v>633</v>
      </c>
      <c r="AA63">
        <v>29459</v>
      </c>
      <c r="AC63">
        <v>30362</v>
      </c>
      <c r="AE63">
        <v>93417</v>
      </c>
      <c r="AF63">
        <v>0</v>
      </c>
      <c r="AG63">
        <v>83228</v>
      </c>
      <c r="AH63">
        <v>102506</v>
      </c>
      <c r="AK63">
        <v>-3097.0149999999999</v>
      </c>
      <c r="AL63">
        <v>182637</v>
      </c>
      <c r="AM63">
        <v>276054</v>
      </c>
      <c r="AN63">
        <v>2534</v>
      </c>
    </row>
    <row r="64" spans="1:40" x14ac:dyDescent="0.35">
      <c r="A64" t="s">
        <v>60</v>
      </c>
      <c r="B64" s="1">
        <v>45291</v>
      </c>
      <c r="C64">
        <v>35597</v>
      </c>
      <c r="D64">
        <v>65403</v>
      </c>
      <c r="E64">
        <v>16169</v>
      </c>
      <c r="G64">
        <v>3694</v>
      </c>
      <c r="H64">
        <v>99</v>
      </c>
      <c r="I64">
        <v>85365</v>
      </c>
      <c r="J64">
        <v>143015</v>
      </c>
      <c r="K64">
        <v>-33134</v>
      </c>
      <c r="L64">
        <v>109881</v>
      </c>
      <c r="M64">
        <v>20654</v>
      </c>
      <c r="N64">
        <v>788</v>
      </c>
      <c r="O64">
        <v>6141</v>
      </c>
      <c r="Q64">
        <v>6794</v>
      </c>
      <c r="R64">
        <v>229623</v>
      </c>
      <c r="S64">
        <v>5712</v>
      </c>
      <c r="T64">
        <v>17087</v>
      </c>
      <c r="U64">
        <v>90</v>
      </c>
      <c r="V64">
        <v>0</v>
      </c>
      <c r="W64">
        <v>9071</v>
      </c>
      <c r="X64">
        <v>31960</v>
      </c>
      <c r="Y64">
        <v>18385</v>
      </c>
      <c r="Z64">
        <v>600</v>
      </c>
      <c r="AA64">
        <v>18985</v>
      </c>
      <c r="AC64">
        <v>25510</v>
      </c>
      <c r="AE64">
        <v>76455</v>
      </c>
      <c r="AF64">
        <v>0</v>
      </c>
      <c r="AG64">
        <v>73253</v>
      </c>
      <c r="AH64">
        <v>82070</v>
      </c>
      <c r="AK64">
        <v>-2155.0149999999999</v>
      </c>
      <c r="AL64">
        <v>153168</v>
      </c>
      <c r="AM64">
        <v>229623</v>
      </c>
      <c r="AN64">
        <v>2561</v>
      </c>
    </row>
    <row r="65" spans="1:40" x14ac:dyDescent="0.35">
      <c r="A65" t="s">
        <v>60</v>
      </c>
      <c r="B65" s="1">
        <v>44926</v>
      </c>
      <c r="C65">
        <v>8505</v>
      </c>
      <c r="D65">
        <v>40738</v>
      </c>
      <c r="E65">
        <v>13466</v>
      </c>
      <c r="G65">
        <v>5051</v>
      </c>
      <c r="H65">
        <v>294</v>
      </c>
      <c r="I65">
        <v>59549</v>
      </c>
      <c r="J65">
        <v>117166</v>
      </c>
      <c r="K65">
        <v>-24975</v>
      </c>
      <c r="L65">
        <v>92191</v>
      </c>
      <c r="M65">
        <v>20306</v>
      </c>
      <c r="N65">
        <v>897</v>
      </c>
      <c r="O65">
        <v>6201</v>
      </c>
      <c r="Q65">
        <v>6583</v>
      </c>
      <c r="R65">
        <v>185727</v>
      </c>
      <c r="S65">
        <v>6107</v>
      </c>
      <c r="T65">
        <v>13674</v>
      </c>
      <c r="U65">
        <v>129</v>
      </c>
      <c r="V65">
        <v>0</v>
      </c>
      <c r="W65">
        <v>7116</v>
      </c>
      <c r="X65">
        <v>27026</v>
      </c>
      <c r="Y65">
        <v>9923</v>
      </c>
      <c r="Z65">
        <v>558</v>
      </c>
      <c r="AA65">
        <v>10481</v>
      </c>
      <c r="AC65">
        <v>22507</v>
      </c>
      <c r="AE65">
        <v>60014</v>
      </c>
      <c r="AF65">
        <v>0</v>
      </c>
      <c r="AG65">
        <v>64444</v>
      </c>
      <c r="AH65">
        <v>64799</v>
      </c>
      <c r="AK65">
        <v>-3530.038</v>
      </c>
      <c r="AL65">
        <v>125713</v>
      </c>
      <c r="AM65">
        <v>185727</v>
      </c>
      <c r="AN65">
        <v>2614</v>
      </c>
    </row>
    <row r="66" spans="1:40" x14ac:dyDescent="0.35">
      <c r="A66" t="s">
        <v>60</v>
      </c>
      <c r="B66" s="1">
        <v>44561</v>
      </c>
      <c r="C66">
        <v>9293</v>
      </c>
      <c r="D66">
        <v>47998</v>
      </c>
      <c r="E66">
        <v>14039</v>
      </c>
      <c r="G66">
        <v>4480</v>
      </c>
      <c r="H66">
        <v>149</v>
      </c>
      <c r="I66">
        <v>66666</v>
      </c>
      <c r="J66">
        <v>90044</v>
      </c>
      <c r="K66">
        <v>-20080</v>
      </c>
      <c r="L66">
        <v>69964</v>
      </c>
      <c r="M66">
        <v>19197</v>
      </c>
      <c r="N66">
        <v>634</v>
      </c>
      <c r="O66">
        <v>6775</v>
      </c>
      <c r="Q66">
        <v>2751</v>
      </c>
      <c r="R66">
        <v>165987</v>
      </c>
      <c r="S66">
        <v>5135</v>
      </c>
      <c r="T66">
        <v>8925</v>
      </c>
      <c r="U66">
        <v>75</v>
      </c>
      <c r="V66">
        <v>0</v>
      </c>
      <c r="W66">
        <v>7000</v>
      </c>
      <c r="X66">
        <v>21135</v>
      </c>
      <c r="Z66">
        <v>506</v>
      </c>
      <c r="AA66">
        <v>506</v>
      </c>
      <c r="AC66">
        <v>19467</v>
      </c>
      <c r="AE66">
        <v>41108</v>
      </c>
      <c r="AF66">
        <v>0</v>
      </c>
      <c r="AG66">
        <v>55811</v>
      </c>
      <c r="AH66">
        <v>69761</v>
      </c>
      <c r="AK66">
        <v>-693.01700000000005</v>
      </c>
      <c r="AL66">
        <v>124879</v>
      </c>
      <c r="AM66">
        <v>165987</v>
      </c>
      <c r="AN66">
        <v>2741</v>
      </c>
    </row>
    <row r="67" spans="1:40" x14ac:dyDescent="0.35">
      <c r="A67" t="s">
        <v>60</v>
      </c>
      <c r="B67" s="1">
        <v>44196</v>
      </c>
      <c r="C67">
        <v>11088</v>
      </c>
      <c r="D67">
        <v>61954</v>
      </c>
      <c r="E67">
        <v>11335</v>
      </c>
      <c r="G67">
        <v>2140</v>
      </c>
      <c r="H67">
        <v>241</v>
      </c>
      <c r="I67">
        <v>75670</v>
      </c>
      <c r="J67">
        <v>70399</v>
      </c>
      <c r="K67">
        <v>-15418</v>
      </c>
      <c r="L67">
        <v>54981</v>
      </c>
      <c r="M67">
        <v>19050</v>
      </c>
      <c r="N67">
        <v>623</v>
      </c>
      <c r="O67">
        <v>6234</v>
      </c>
      <c r="Q67">
        <v>2758</v>
      </c>
      <c r="R67">
        <v>159316</v>
      </c>
      <c r="S67">
        <v>2424</v>
      </c>
      <c r="T67">
        <v>6668</v>
      </c>
      <c r="U67">
        <v>54</v>
      </c>
      <c r="V67">
        <v>0</v>
      </c>
      <c r="W67">
        <v>5835</v>
      </c>
      <c r="X67">
        <v>14981</v>
      </c>
      <c r="Z67">
        <v>469</v>
      </c>
      <c r="AA67">
        <v>469</v>
      </c>
      <c r="AC67">
        <v>15576</v>
      </c>
      <c r="AE67">
        <v>31026</v>
      </c>
      <c r="AF67">
        <v>0</v>
      </c>
      <c r="AG67">
        <v>50018</v>
      </c>
      <c r="AH67">
        <v>77345</v>
      </c>
      <c r="AK67">
        <v>926.98299999999995</v>
      </c>
      <c r="AL67">
        <v>128290</v>
      </c>
      <c r="AM67">
        <v>159316</v>
      </c>
      <c r="AN67">
        <v>2849</v>
      </c>
    </row>
    <row r="68" spans="1:40" x14ac:dyDescent="0.35">
      <c r="A68" t="s">
        <v>60</v>
      </c>
      <c r="B68" s="1">
        <v>43830</v>
      </c>
      <c r="C68">
        <v>14344</v>
      </c>
      <c r="D68">
        <v>54855</v>
      </c>
      <c r="E68">
        <v>9518</v>
      </c>
      <c r="G68">
        <v>1844</v>
      </c>
      <c r="H68">
        <v>8</v>
      </c>
      <c r="I68">
        <v>66225</v>
      </c>
      <c r="J68">
        <v>55446</v>
      </c>
      <c r="K68">
        <v>-10663</v>
      </c>
      <c r="L68">
        <v>44783</v>
      </c>
      <c r="M68">
        <v>18715</v>
      </c>
      <c r="N68">
        <v>894</v>
      </c>
      <c r="O68">
        <v>86</v>
      </c>
      <c r="Q68">
        <v>2673</v>
      </c>
      <c r="R68">
        <v>133376</v>
      </c>
      <c r="S68">
        <v>2249</v>
      </c>
      <c r="T68">
        <v>9136</v>
      </c>
      <c r="U68">
        <v>55</v>
      </c>
      <c r="V68">
        <v>0</v>
      </c>
      <c r="W68">
        <v>3613</v>
      </c>
      <c r="X68">
        <v>15053</v>
      </c>
      <c r="Z68">
        <v>418</v>
      </c>
      <c r="AA68">
        <v>418</v>
      </c>
      <c r="AB68">
        <v>1039</v>
      </c>
      <c r="AC68">
        <v>15812</v>
      </c>
      <c r="AE68">
        <v>32322</v>
      </c>
      <c r="AF68">
        <v>0</v>
      </c>
      <c r="AG68">
        <v>45851</v>
      </c>
      <c r="AH68">
        <v>55692</v>
      </c>
      <c r="AK68">
        <v>-489.017</v>
      </c>
      <c r="AL68">
        <v>101054</v>
      </c>
      <c r="AM68">
        <v>133376</v>
      </c>
      <c r="AN68">
        <v>2852</v>
      </c>
    </row>
    <row r="69" spans="1:40" x14ac:dyDescent="0.35">
      <c r="A69" t="s">
        <v>60</v>
      </c>
      <c r="B69" s="1">
        <v>43465</v>
      </c>
      <c r="C69">
        <v>7306</v>
      </c>
      <c r="D69">
        <v>41114</v>
      </c>
      <c r="E69">
        <v>7587</v>
      </c>
      <c r="G69">
        <v>1779</v>
      </c>
      <c r="I69">
        <v>50480</v>
      </c>
      <c r="J69">
        <v>31573</v>
      </c>
      <c r="K69">
        <v>-6890</v>
      </c>
      <c r="L69">
        <v>24683</v>
      </c>
      <c r="M69">
        <v>18301</v>
      </c>
      <c r="N69">
        <v>1294</v>
      </c>
      <c r="Q69">
        <v>2576</v>
      </c>
      <c r="R69">
        <v>97334</v>
      </c>
      <c r="S69">
        <v>1361</v>
      </c>
      <c r="T69">
        <v>2734</v>
      </c>
      <c r="U69">
        <v>0</v>
      </c>
      <c r="V69">
        <v>0</v>
      </c>
      <c r="W69">
        <v>2922</v>
      </c>
      <c r="X69">
        <v>7017</v>
      </c>
      <c r="AA69">
        <v>0</v>
      </c>
      <c r="AB69">
        <v>673</v>
      </c>
      <c r="AC69">
        <v>5517</v>
      </c>
      <c r="AE69">
        <v>13207</v>
      </c>
      <c r="AF69">
        <v>0</v>
      </c>
      <c r="AG69">
        <v>42906</v>
      </c>
      <c r="AH69">
        <v>41981</v>
      </c>
      <c r="AK69">
        <v>-760</v>
      </c>
      <c r="AL69">
        <v>84127</v>
      </c>
      <c r="AM69">
        <v>97334</v>
      </c>
      <c r="AN69">
        <v>2854</v>
      </c>
    </row>
    <row r="70" spans="1:40" x14ac:dyDescent="0.35">
      <c r="A70" t="s">
        <v>60</v>
      </c>
      <c r="B70" s="1">
        <v>43100</v>
      </c>
      <c r="C70">
        <v>5867</v>
      </c>
      <c r="D70">
        <v>41711</v>
      </c>
      <c r="E70">
        <v>5832</v>
      </c>
      <c r="G70">
        <v>1020</v>
      </c>
      <c r="I70">
        <v>48563</v>
      </c>
      <c r="J70">
        <v>18337</v>
      </c>
      <c r="K70">
        <v>-4616</v>
      </c>
      <c r="L70">
        <v>13721</v>
      </c>
      <c r="M70">
        <v>18221</v>
      </c>
      <c r="N70">
        <v>1884</v>
      </c>
      <c r="Q70">
        <v>2135</v>
      </c>
      <c r="R70">
        <v>84524</v>
      </c>
      <c r="S70">
        <v>770</v>
      </c>
      <c r="T70">
        <v>1461</v>
      </c>
      <c r="U70">
        <v>0</v>
      </c>
      <c r="V70">
        <v>0</v>
      </c>
      <c r="W70">
        <v>1529</v>
      </c>
      <c r="X70">
        <v>3760</v>
      </c>
      <c r="AA70">
        <v>0</v>
      </c>
      <c r="AC70">
        <v>6417</v>
      </c>
      <c r="AE70">
        <v>10177</v>
      </c>
      <c r="AF70">
        <v>0</v>
      </c>
      <c r="AG70">
        <v>40584</v>
      </c>
      <c r="AH70">
        <v>33990</v>
      </c>
      <c r="AJ70">
        <v>-211</v>
      </c>
      <c r="AK70">
        <v>-16</v>
      </c>
      <c r="AL70">
        <v>74347</v>
      </c>
      <c r="AM70">
        <v>84524</v>
      </c>
      <c r="AN70">
        <v>2906</v>
      </c>
    </row>
    <row r="71" spans="1:40" x14ac:dyDescent="0.35">
      <c r="A71" t="s">
        <v>60</v>
      </c>
      <c r="B71" s="1">
        <v>42735</v>
      </c>
      <c r="C71">
        <v>7539</v>
      </c>
      <c r="D71">
        <v>29449</v>
      </c>
      <c r="E71">
        <v>3993</v>
      </c>
      <c r="G71">
        <v>959</v>
      </c>
      <c r="I71">
        <v>34401</v>
      </c>
      <c r="J71">
        <v>11803</v>
      </c>
      <c r="K71">
        <v>-3212</v>
      </c>
      <c r="L71">
        <v>8591</v>
      </c>
      <c r="M71">
        <v>18122</v>
      </c>
      <c r="N71">
        <v>2535</v>
      </c>
      <c r="Q71">
        <v>1312</v>
      </c>
      <c r="R71">
        <v>64961</v>
      </c>
      <c r="S71">
        <v>582</v>
      </c>
      <c r="T71">
        <v>1209</v>
      </c>
      <c r="U71">
        <v>0</v>
      </c>
      <c r="V71">
        <v>0</v>
      </c>
      <c r="W71">
        <v>1084</v>
      </c>
      <c r="X71">
        <v>2875</v>
      </c>
      <c r="Z71">
        <v>0</v>
      </c>
      <c r="AA71">
        <v>0</v>
      </c>
      <c r="AC71">
        <v>2892</v>
      </c>
      <c r="AE71">
        <v>5767</v>
      </c>
      <c r="AF71">
        <v>0</v>
      </c>
      <c r="AG71">
        <v>38227</v>
      </c>
      <c r="AH71">
        <v>21670</v>
      </c>
      <c r="AJ71">
        <v>-121</v>
      </c>
      <c r="AK71">
        <v>-582</v>
      </c>
      <c r="AL71">
        <v>59194</v>
      </c>
      <c r="AM71">
        <v>64961</v>
      </c>
      <c r="AN71">
        <v>2892</v>
      </c>
    </row>
    <row r="72" spans="1:40" x14ac:dyDescent="0.35">
      <c r="A72" t="s">
        <v>60</v>
      </c>
      <c r="B72" s="1">
        <v>42369</v>
      </c>
      <c r="C72">
        <v>3204</v>
      </c>
      <c r="D72">
        <v>18434</v>
      </c>
      <c r="E72">
        <v>2559</v>
      </c>
      <c r="G72">
        <v>659</v>
      </c>
      <c r="I72">
        <v>21652</v>
      </c>
      <c r="J72">
        <v>7819</v>
      </c>
      <c r="K72">
        <v>-2132</v>
      </c>
      <c r="L72">
        <v>5687</v>
      </c>
      <c r="M72">
        <v>18026</v>
      </c>
      <c r="N72">
        <v>3246</v>
      </c>
      <c r="Q72">
        <v>796</v>
      </c>
      <c r="R72">
        <v>49407</v>
      </c>
      <c r="S72">
        <v>413</v>
      </c>
      <c r="T72">
        <v>665</v>
      </c>
      <c r="U72">
        <v>7</v>
      </c>
      <c r="V72">
        <v>201</v>
      </c>
      <c r="W72">
        <v>639</v>
      </c>
      <c r="X72">
        <v>1925</v>
      </c>
      <c r="Z72">
        <v>107</v>
      </c>
      <c r="AA72">
        <v>107</v>
      </c>
      <c r="AB72">
        <v>163</v>
      </c>
      <c r="AC72">
        <v>2994</v>
      </c>
      <c r="AE72">
        <v>5189</v>
      </c>
      <c r="AF72">
        <v>0</v>
      </c>
      <c r="AG72">
        <v>34886</v>
      </c>
      <c r="AH72">
        <v>9787</v>
      </c>
      <c r="AJ72">
        <v>-25</v>
      </c>
      <c r="AK72">
        <v>-430</v>
      </c>
      <c r="AL72">
        <v>44218</v>
      </c>
      <c r="AM72">
        <v>49407</v>
      </c>
      <c r="AN72">
        <v>2845</v>
      </c>
    </row>
    <row r="73" spans="1:40" x14ac:dyDescent="0.35">
      <c r="A73" t="s">
        <v>60</v>
      </c>
      <c r="B73" s="1">
        <v>42004</v>
      </c>
      <c r="C73">
        <v>2153</v>
      </c>
      <c r="D73">
        <v>11199</v>
      </c>
      <c r="E73">
        <v>1678</v>
      </c>
      <c r="G73">
        <v>513</v>
      </c>
      <c r="I73">
        <v>13390</v>
      </c>
      <c r="J73">
        <v>5784</v>
      </c>
      <c r="K73">
        <v>-1817</v>
      </c>
      <c r="L73">
        <v>3967</v>
      </c>
      <c r="M73">
        <v>17981</v>
      </c>
      <c r="N73">
        <v>3929</v>
      </c>
      <c r="Q73">
        <v>699</v>
      </c>
      <c r="R73">
        <v>39966</v>
      </c>
      <c r="S73">
        <v>378</v>
      </c>
      <c r="T73">
        <v>486</v>
      </c>
      <c r="U73">
        <v>114</v>
      </c>
      <c r="V73">
        <v>0</v>
      </c>
      <c r="W73">
        <v>446</v>
      </c>
      <c r="X73">
        <v>1424</v>
      </c>
      <c r="Z73">
        <v>119</v>
      </c>
      <c r="AA73">
        <v>119</v>
      </c>
      <c r="AB73">
        <v>769</v>
      </c>
      <c r="AC73">
        <v>1558</v>
      </c>
      <c r="AE73">
        <v>3870</v>
      </c>
      <c r="AF73">
        <v>0</v>
      </c>
      <c r="AG73">
        <v>30225</v>
      </c>
      <c r="AH73">
        <v>6099</v>
      </c>
      <c r="AJ73">
        <v>-1</v>
      </c>
      <c r="AK73">
        <v>-227</v>
      </c>
      <c r="AL73">
        <v>36096</v>
      </c>
      <c r="AM73">
        <v>39966</v>
      </c>
      <c r="AN73">
        <v>2797</v>
      </c>
    </row>
    <row r="74" spans="1:40" x14ac:dyDescent="0.35">
      <c r="A74" t="s">
        <v>60</v>
      </c>
      <c r="B74" s="1">
        <v>41639</v>
      </c>
      <c r="C74">
        <v>2279</v>
      </c>
      <c r="D74">
        <v>11449</v>
      </c>
      <c r="E74">
        <v>1160</v>
      </c>
      <c r="G74">
        <v>461</v>
      </c>
      <c r="I74">
        <v>13070</v>
      </c>
      <c r="J74">
        <v>4142</v>
      </c>
      <c r="K74">
        <v>-1260</v>
      </c>
      <c r="L74">
        <v>2882</v>
      </c>
      <c r="M74">
        <v>839</v>
      </c>
      <c r="N74">
        <v>883</v>
      </c>
      <c r="Q74">
        <v>221</v>
      </c>
      <c r="R74">
        <v>17895</v>
      </c>
      <c r="S74">
        <v>268</v>
      </c>
      <c r="T74">
        <v>555</v>
      </c>
      <c r="U74">
        <v>239</v>
      </c>
      <c r="V74">
        <v>0</v>
      </c>
      <c r="W74">
        <v>38</v>
      </c>
      <c r="X74">
        <v>1100</v>
      </c>
      <c r="Y74">
        <v>0</v>
      </c>
      <c r="Z74">
        <v>237</v>
      </c>
      <c r="AA74">
        <v>237</v>
      </c>
      <c r="AC74">
        <v>1088</v>
      </c>
      <c r="AE74">
        <v>2425</v>
      </c>
      <c r="AF74">
        <v>0</v>
      </c>
      <c r="AG74">
        <v>12297</v>
      </c>
      <c r="AH74">
        <v>3159</v>
      </c>
      <c r="AK74">
        <v>14</v>
      </c>
      <c r="AL74">
        <v>15470</v>
      </c>
      <c r="AM74">
        <v>17895</v>
      </c>
      <c r="AN74">
        <v>2547</v>
      </c>
    </row>
    <row r="75" spans="1:40" x14ac:dyDescent="0.35">
      <c r="A75" t="s">
        <v>60</v>
      </c>
      <c r="B75" s="1">
        <v>41274</v>
      </c>
      <c r="C75">
        <v>871</v>
      </c>
      <c r="D75">
        <v>9626</v>
      </c>
      <c r="E75">
        <v>1170</v>
      </c>
      <c r="G75">
        <v>471</v>
      </c>
      <c r="I75">
        <v>11267</v>
      </c>
      <c r="J75">
        <v>3273</v>
      </c>
      <c r="K75">
        <v>-882</v>
      </c>
      <c r="L75">
        <v>2391</v>
      </c>
      <c r="M75">
        <v>587</v>
      </c>
      <c r="N75">
        <v>801</v>
      </c>
      <c r="Q75">
        <v>57</v>
      </c>
      <c r="R75">
        <v>15103</v>
      </c>
      <c r="S75">
        <v>234</v>
      </c>
      <c r="T75">
        <v>423</v>
      </c>
      <c r="U75">
        <v>365</v>
      </c>
      <c r="V75">
        <v>0</v>
      </c>
      <c r="W75">
        <v>30</v>
      </c>
      <c r="X75">
        <v>1052</v>
      </c>
      <c r="Y75">
        <v>1500</v>
      </c>
      <c r="Z75">
        <v>491</v>
      </c>
      <c r="AA75">
        <v>1991</v>
      </c>
      <c r="AC75">
        <v>305</v>
      </c>
      <c r="AE75">
        <v>3348</v>
      </c>
      <c r="AF75">
        <v>0</v>
      </c>
      <c r="AG75">
        <v>10094</v>
      </c>
      <c r="AH75">
        <v>1659</v>
      </c>
      <c r="AK75">
        <v>2</v>
      </c>
      <c r="AL75">
        <v>11755</v>
      </c>
      <c r="AM75">
        <v>15103</v>
      </c>
      <c r="AN75">
        <v>2373</v>
      </c>
    </row>
    <row r="76" spans="1:40" x14ac:dyDescent="0.35">
      <c r="A76" t="s">
        <v>60</v>
      </c>
      <c r="B76" s="1">
        <v>40908</v>
      </c>
      <c r="C76">
        <v>1512</v>
      </c>
      <c r="D76">
        <v>3908</v>
      </c>
      <c r="E76">
        <v>547</v>
      </c>
      <c r="G76">
        <v>149</v>
      </c>
      <c r="I76">
        <v>4604</v>
      </c>
      <c r="J76">
        <v>1925</v>
      </c>
      <c r="K76">
        <v>-450</v>
      </c>
      <c r="L76">
        <v>1475</v>
      </c>
      <c r="M76">
        <v>82</v>
      </c>
      <c r="N76">
        <v>80</v>
      </c>
      <c r="Q76">
        <v>90</v>
      </c>
      <c r="R76">
        <v>6331</v>
      </c>
      <c r="S76">
        <v>234</v>
      </c>
      <c r="U76">
        <v>279</v>
      </c>
      <c r="V76">
        <v>0</v>
      </c>
      <c r="W76">
        <v>386</v>
      </c>
      <c r="X76">
        <v>899</v>
      </c>
      <c r="Y76">
        <v>0</v>
      </c>
      <c r="Z76">
        <v>398</v>
      </c>
      <c r="AA76">
        <v>398</v>
      </c>
      <c r="AC76">
        <v>135</v>
      </c>
      <c r="AE76">
        <v>1432</v>
      </c>
      <c r="AF76">
        <v>0</v>
      </c>
      <c r="AG76">
        <v>2684</v>
      </c>
      <c r="AH76">
        <v>1606</v>
      </c>
      <c r="AK76">
        <v>-6</v>
      </c>
      <c r="AL76">
        <v>4899</v>
      </c>
      <c r="AM76">
        <v>6331</v>
      </c>
      <c r="AN76">
        <v>2138</v>
      </c>
    </row>
    <row r="77" spans="1:40" x14ac:dyDescent="0.35">
      <c r="A77" t="s">
        <v>60</v>
      </c>
      <c r="B77" s="1">
        <v>40543</v>
      </c>
      <c r="C77">
        <v>1785</v>
      </c>
      <c r="D77">
        <v>1785</v>
      </c>
      <c r="E77">
        <v>373</v>
      </c>
      <c r="G77">
        <v>88</v>
      </c>
      <c r="I77">
        <v>2246</v>
      </c>
      <c r="J77">
        <v>820</v>
      </c>
      <c r="K77">
        <v>-246</v>
      </c>
      <c r="L77">
        <v>574</v>
      </c>
      <c r="M77">
        <v>37</v>
      </c>
      <c r="N77">
        <v>59</v>
      </c>
      <c r="Q77">
        <v>74</v>
      </c>
      <c r="R77">
        <v>2990</v>
      </c>
      <c r="S77">
        <v>104</v>
      </c>
      <c r="U77">
        <v>106</v>
      </c>
      <c r="V77">
        <v>0</v>
      </c>
      <c r="W77">
        <v>179</v>
      </c>
      <c r="X77">
        <v>389</v>
      </c>
      <c r="Y77">
        <v>250</v>
      </c>
      <c r="Z77">
        <v>117</v>
      </c>
      <c r="AA77">
        <v>367</v>
      </c>
      <c r="AC77">
        <v>72</v>
      </c>
      <c r="AE77">
        <v>828</v>
      </c>
      <c r="AF77">
        <v>0</v>
      </c>
      <c r="AG77">
        <v>947</v>
      </c>
      <c r="AH77">
        <v>606</v>
      </c>
      <c r="AK77">
        <v>-6</v>
      </c>
      <c r="AL77">
        <v>2162</v>
      </c>
      <c r="AM77">
        <v>2990</v>
      </c>
      <c r="AN77">
        <v>2138</v>
      </c>
    </row>
    <row r="78" spans="1:40" x14ac:dyDescent="0.35">
      <c r="A78" t="s">
        <v>60</v>
      </c>
      <c r="B78" s="1">
        <v>40178</v>
      </c>
      <c r="C78">
        <v>633</v>
      </c>
      <c r="D78">
        <v>633</v>
      </c>
      <c r="L78">
        <v>148</v>
      </c>
      <c r="R78">
        <v>1109</v>
      </c>
      <c r="U78">
        <v>0</v>
      </c>
      <c r="V78">
        <v>0</v>
      </c>
      <c r="AA78">
        <v>0</v>
      </c>
      <c r="AC78">
        <v>241</v>
      </c>
      <c r="AE78">
        <v>241</v>
      </c>
      <c r="AL78">
        <v>868</v>
      </c>
      <c r="AM78">
        <v>1109</v>
      </c>
      <c r="AN78">
        <v>2138</v>
      </c>
    </row>
    <row r="79" spans="1:40" x14ac:dyDescent="0.35">
      <c r="A79" t="s">
        <v>60</v>
      </c>
      <c r="B79" s="1">
        <v>39813</v>
      </c>
      <c r="C79">
        <v>297</v>
      </c>
      <c r="D79">
        <v>297</v>
      </c>
      <c r="L79">
        <v>131</v>
      </c>
      <c r="R79">
        <v>505</v>
      </c>
      <c r="U79">
        <v>0</v>
      </c>
      <c r="V79">
        <v>0</v>
      </c>
      <c r="AA79">
        <v>0</v>
      </c>
      <c r="AC79">
        <v>170</v>
      </c>
      <c r="AE79">
        <v>170</v>
      </c>
      <c r="AL79">
        <v>335</v>
      </c>
      <c r="AM79">
        <v>505</v>
      </c>
      <c r="AN79">
        <v>2138</v>
      </c>
    </row>
    <row r="80" spans="1:40" x14ac:dyDescent="0.35">
      <c r="A80" t="s">
        <v>60</v>
      </c>
      <c r="B80" s="1">
        <v>39447</v>
      </c>
      <c r="C80">
        <v>305</v>
      </c>
      <c r="D80">
        <v>305</v>
      </c>
      <c r="L80">
        <v>82</v>
      </c>
      <c r="R80">
        <v>448</v>
      </c>
      <c r="U80">
        <v>0</v>
      </c>
      <c r="V80">
        <v>0</v>
      </c>
      <c r="AA80">
        <v>0</v>
      </c>
      <c r="AC80">
        <v>174</v>
      </c>
      <c r="AE80">
        <v>174</v>
      </c>
      <c r="AL80">
        <v>273</v>
      </c>
      <c r="AM80">
        <v>448</v>
      </c>
      <c r="AN80">
        <v>2138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F4D2-89F2-4B37-8EF2-3719D04A2F02}">
  <dimension ref="A1:T80"/>
  <sheetViews>
    <sheetView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O22" sqref="O22"/>
    </sheetView>
  </sheetViews>
  <sheetFormatPr defaultRowHeight="14.5" x14ac:dyDescent="0.35"/>
  <cols>
    <col min="1" max="1" width="5.7265625" bestFit="1" customWidth="1"/>
    <col min="2" max="2" width="12.6328125" bestFit="1" customWidth="1"/>
    <col min="3" max="3" width="10.08984375" bestFit="1" customWidth="1"/>
    <col min="4" max="4" width="23.08984375" bestFit="1" customWidth="1"/>
    <col min="5" max="5" width="25.6328125" bestFit="1" customWidth="1"/>
    <col min="6" max="6" width="17.6328125" bestFit="1" customWidth="1"/>
    <col min="7" max="7" width="16.7265625" bestFit="1" customWidth="1"/>
    <col min="8" max="8" width="19.54296875" bestFit="1" customWidth="1"/>
    <col min="9" max="9" width="23.08984375" bestFit="1" customWidth="1"/>
    <col min="10" max="10" width="31.90625" bestFit="1" customWidth="1"/>
    <col min="11" max="11" width="24.7265625" bestFit="1" customWidth="1"/>
    <col min="12" max="12" width="17.81640625" bestFit="1" customWidth="1"/>
    <col min="13" max="13" width="29.08984375" bestFit="1" customWidth="1"/>
    <col min="14" max="14" width="29.81640625" bestFit="1" customWidth="1"/>
    <col min="15" max="15" width="21.81640625" bestFit="1" customWidth="1"/>
    <col min="16" max="16" width="25.453125" bestFit="1" customWidth="1"/>
    <col min="17" max="17" width="21.1796875" bestFit="1" customWidth="1"/>
    <col min="18" max="18" width="16.7265625" bestFit="1" customWidth="1"/>
    <col min="19" max="19" width="24.6328125" bestFit="1" customWidth="1"/>
    <col min="20" max="20" width="22.1796875" bestFit="1" customWidth="1"/>
  </cols>
  <sheetData>
    <row r="1" spans="1:20" x14ac:dyDescent="0.35">
      <c r="A1" t="s">
        <v>16</v>
      </c>
      <c r="B1" t="s">
        <v>86</v>
      </c>
      <c r="C1" t="s">
        <v>5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83</v>
      </c>
      <c r="M1" t="s">
        <v>84</v>
      </c>
      <c r="N1" t="s">
        <v>85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</row>
    <row r="2" spans="1:20" x14ac:dyDescent="0.35">
      <c r="A2" t="s">
        <v>17</v>
      </c>
      <c r="B2" s="1">
        <v>46022</v>
      </c>
      <c r="C2">
        <v>77670</v>
      </c>
      <c r="D2">
        <v>-19969</v>
      </c>
      <c r="E2">
        <v>139514</v>
      </c>
      <c r="F2">
        <v>-131819</v>
      </c>
      <c r="G2">
        <v>3499</v>
      </c>
      <c r="H2">
        <v>-3841</v>
      </c>
      <c r="I2">
        <v>44386</v>
      </c>
      <c r="J2">
        <v>-10726</v>
      </c>
      <c r="K2">
        <v>-142545</v>
      </c>
      <c r="L2">
        <v>894</v>
      </c>
      <c r="M2">
        <v>9661</v>
      </c>
      <c r="P2">
        <v>9661</v>
      </c>
      <c r="Q2">
        <v>1164</v>
      </c>
      <c r="R2">
        <v>7794</v>
      </c>
      <c r="S2">
        <v>82312</v>
      </c>
      <c r="T2">
        <v>90106</v>
      </c>
    </row>
    <row r="3" spans="1:20" x14ac:dyDescent="0.35">
      <c r="A3" t="s">
        <v>17</v>
      </c>
      <c r="B3" s="1">
        <v>45657</v>
      </c>
      <c r="C3">
        <v>59248</v>
      </c>
      <c r="D3">
        <v>-15541</v>
      </c>
      <c r="E3">
        <v>115877</v>
      </c>
      <c r="F3">
        <v>-82999</v>
      </c>
      <c r="G3">
        <v>5341</v>
      </c>
      <c r="H3">
        <v>-7082</v>
      </c>
      <c r="I3">
        <v>16403</v>
      </c>
      <c r="J3">
        <v>-11343</v>
      </c>
      <c r="K3">
        <v>-94342</v>
      </c>
      <c r="L3">
        <v>82</v>
      </c>
      <c r="M3">
        <v>-11812</v>
      </c>
      <c r="N3">
        <v>0</v>
      </c>
      <c r="P3">
        <v>-11812</v>
      </c>
      <c r="Q3">
        <v>-1301</v>
      </c>
      <c r="R3">
        <v>8422</v>
      </c>
      <c r="S3">
        <v>73890</v>
      </c>
      <c r="T3">
        <v>82312</v>
      </c>
    </row>
    <row r="4" spans="1:20" x14ac:dyDescent="0.35">
      <c r="A4" t="s">
        <v>17</v>
      </c>
      <c r="B4" s="1">
        <v>45291</v>
      </c>
      <c r="C4">
        <v>30425</v>
      </c>
      <c r="D4">
        <v>-11541</v>
      </c>
      <c r="E4">
        <v>84946</v>
      </c>
      <c r="F4">
        <v>-52729</v>
      </c>
      <c r="G4">
        <v>4596</v>
      </c>
      <c r="H4">
        <v>-5839</v>
      </c>
      <c r="I4">
        <v>5627</v>
      </c>
      <c r="J4">
        <v>2896</v>
      </c>
      <c r="K4">
        <v>-49833</v>
      </c>
      <c r="L4">
        <v>-7548</v>
      </c>
      <c r="M4">
        <v>-15879</v>
      </c>
      <c r="N4">
        <v>0</v>
      </c>
      <c r="P4">
        <v>-15879</v>
      </c>
      <c r="Q4">
        <v>403</v>
      </c>
      <c r="R4">
        <v>19637</v>
      </c>
      <c r="S4">
        <v>54253</v>
      </c>
      <c r="T4">
        <v>73890</v>
      </c>
    </row>
    <row r="5" spans="1:20" x14ac:dyDescent="0.35">
      <c r="A5" t="s">
        <v>17</v>
      </c>
      <c r="B5" s="1">
        <v>44926</v>
      </c>
      <c r="C5">
        <v>-2722</v>
      </c>
      <c r="D5">
        <v>-20886</v>
      </c>
      <c r="E5">
        <v>46752</v>
      </c>
      <c r="F5">
        <v>-63645</v>
      </c>
      <c r="G5">
        <v>5324</v>
      </c>
      <c r="H5">
        <v>-8316</v>
      </c>
      <c r="I5">
        <v>31601</v>
      </c>
      <c r="J5">
        <v>26044</v>
      </c>
      <c r="K5">
        <v>-37601</v>
      </c>
      <c r="L5">
        <v>3999</v>
      </c>
      <c r="M5">
        <v>15718</v>
      </c>
      <c r="N5">
        <v>-6000</v>
      </c>
      <c r="P5">
        <v>9718</v>
      </c>
      <c r="Q5">
        <v>-1093</v>
      </c>
      <c r="R5">
        <v>17776</v>
      </c>
      <c r="S5">
        <v>36477</v>
      </c>
      <c r="T5">
        <v>54253</v>
      </c>
    </row>
    <row r="6" spans="1:20" x14ac:dyDescent="0.35">
      <c r="A6" t="s">
        <v>17</v>
      </c>
      <c r="B6" s="1">
        <v>44561</v>
      </c>
      <c r="C6">
        <v>33364</v>
      </c>
      <c r="D6">
        <v>-19611</v>
      </c>
      <c r="E6">
        <v>46327</v>
      </c>
      <c r="F6">
        <v>-61053</v>
      </c>
      <c r="G6">
        <v>5657</v>
      </c>
      <c r="H6">
        <v>-1985</v>
      </c>
      <c r="I6">
        <v>59384</v>
      </c>
      <c r="J6">
        <v>2899</v>
      </c>
      <c r="K6">
        <v>-58154</v>
      </c>
      <c r="L6">
        <v>203</v>
      </c>
      <c r="M6">
        <v>6291</v>
      </c>
      <c r="P6">
        <v>6291</v>
      </c>
      <c r="Q6">
        <v>-364</v>
      </c>
      <c r="R6">
        <v>-5900</v>
      </c>
      <c r="S6">
        <v>42377</v>
      </c>
      <c r="T6">
        <v>36477</v>
      </c>
    </row>
    <row r="7" spans="1:20" x14ac:dyDescent="0.35">
      <c r="A7" t="s">
        <v>17</v>
      </c>
      <c r="B7" s="1">
        <v>44196</v>
      </c>
      <c r="C7">
        <v>21331</v>
      </c>
      <c r="D7">
        <v>13481</v>
      </c>
      <c r="E7">
        <v>66064</v>
      </c>
      <c r="F7">
        <v>-40140</v>
      </c>
      <c r="G7">
        <v>5096</v>
      </c>
      <c r="H7">
        <v>-2325</v>
      </c>
      <c r="I7">
        <v>50237</v>
      </c>
      <c r="J7">
        <v>-19471</v>
      </c>
      <c r="K7">
        <v>-59611</v>
      </c>
      <c r="L7">
        <v>619</v>
      </c>
      <c r="M7">
        <v>-1104</v>
      </c>
      <c r="P7">
        <v>-1104</v>
      </c>
      <c r="Q7">
        <v>618</v>
      </c>
      <c r="R7">
        <v>5967</v>
      </c>
      <c r="S7">
        <v>36410</v>
      </c>
      <c r="T7">
        <v>42377</v>
      </c>
    </row>
    <row r="8" spans="1:20" x14ac:dyDescent="0.35">
      <c r="A8" t="s">
        <v>17</v>
      </c>
      <c r="B8" s="1">
        <v>43830</v>
      </c>
      <c r="C8">
        <v>11588</v>
      </c>
      <c r="D8">
        <v>-2438</v>
      </c>
      <c r="E8">
        <v>38514</v>
      </c>
      <c r="F8">
        <v>-16861</v>
      </c>
      <c r="G8">
        <v>4172</v>
      </c>
      <c r="H8">
        <v>-2461</v>
      </c>
      <c r="I8">
        <v>22681</v>
      </c>
      <c r="J8">
        <v>-7420</v>
      </c>
      <c r="K8">
        <v>-24281</v>
      </c>
      <c r="M8">
        <v>-10066</v>
      </c>
      <c r="P8">
        <v>-10066</v>
      </c>
      <c r="Q8">
        <v>70</v>
      </c>
      <c r="R8">
        <v>4237</v>
      </c>
      <c r="S8">
        <v>32173</v>
      </c>
      <c r="T8">
        <v>36410</v>
      </c>
    </row>
    <row r="9" spans="1:20" x14ac:dyDescent="0.35">
      <c r="A9" t="s">
        <v>17</v>
      </c>
      <c r="B9" s="1">
        <v>43465</v>
      </c>
      <c r="C9">
        <v>10073</v>
      </c>
      <c r="D9">
        <v>-1043</v>
      </c>
      <c r="E9">
        <v>30723</v>
      </c>
      <c r="F9">
        <v>-13427</v>
      </c>
      <c r="G9">
        <v>2104</v>
      </c>
      <c r="H9">
        <v>-2186</v>
      </c>
      <c r="I9">
        <v>8240</v>
      </c>
      <c r="J9">
        <v>1058</v>
      </c>
      <c r="K9">
        <v>-12369</v>
      </c>
      <c r="M9">
        <v>-7686</v>
      </c>
      <c r="P9">
        <v>-7686</v>
      </c>
      <c r="Q9">
        <v>-351</v>
      </c>
      <c r="R9">
        <v>10317</v>
      </c>
      <c r="S9">
        <v>21856</v>
      </c>
      <c r="T9">
        <v>32173</v>
      </c>
    </row>
    <row r="10" spans="1:20" x14ac:dyDescent="0.35">
      <c r="A10" t="s">
        <v>17</v>
      </c>
      <c r="B10" s="1">
        <v>43100</v>
      </c>
      <c r="C10">
        <v>3033</v>
      </c>
      <c r="D10">
        <v>-242</v>
      </c>
      <c r="E10">
        <v>18365</v>
      </c>
      <c r="F10">
        <v>-11955</v>
      </c>
      <c r="G10">
        <v>1897</v>
      </c>
      <c r="H10">
        <v>-13972</v>
      </c>
      <c r="I10">
        <v>9677</v>
      </c>
      <c r="J10">
        <v>-15129</v>
      </c>
      <c r="K10">
        <v>-27084</v>
      </c>
      <c r="M10">
        <v>9928</v>
      </c>
      <c r="P10">
        <v>9928</v>
      </c>
      <c r="Q10">
        <v>713</v>
      </c>
      <c r="R10">
        <v>1922</v>
      </c>
      <c r="S10">
        <v>19934</v>
      </c>
      <c r="T10">
        <v>21856</v>
      </c>
    </row>
    <row r="11" spans="1:20" x14ac:dyDescent="0.35">
      <c r="A11" t="s">
        <v>17</v>
      </c>
      <c r="B11" s="1">
        <v>42735</v>
      </c>
      <c r="C11">
        <v>2371</v>
      </c>
      <c r="D11">
        <v>3847</v>
      </c>
      <c r="E11">
        <v>17203</v>
      </c>
      <c r="F11">
        <v>-7804</v>
      </c>
      <c r="G11">
        <v>1067</v>
      </c>
      <c r="H11">
        <v>-116</v>
      </c>
      <c r="I11">
        <v>4577</v>
      </c>
      <c r="J11">
        <v>-1712</v>
      </c>
      <c r="K11">
        <v>-9516</v>
      </c>
      <c r="M11">
        <v>-3716</v>
      </c>
      <c r="P11">
        <v>-3716</v>
      </c>
      <c r="Q11">
        <v>-212</v>
      </c>
      <c r="R11">
        <v>3759</v>
      </c>
      <c r="S11">
        <v>16175</v>
      </c>
      <c r="T11">
        <v>19934</v>
      </c>
    </row>
    <row r="12" spans="1:20" x14ac:dyDescent="0.35">
      <c r="A12" t="s">
        <v>17</v>
      </c>
      <c r="B12" s="1">
        <v>42369</v>
      </c>
      <c r="C12">
        <v>596</v>
      </c>
      <c r="D12">
        <v>2557</v>
      </c>
      <c r="E12">
        <v>11920</v>
      </c>
      <c r="F12">
        <v>-4589</v>
      </c>
      <c r="H12">
        <v>-795</v>
      </c>
      <c r="I12">
        <v>3025</v>
      </c>
      <c r="J12">
        <v>-1861</v>
      </c>
      <c r="K12">
        <v>-6450</v>
      </c>
      <c r="M12">
        <v>-3882</v>
      </c>
      <c r="P12">
        <v>-3763</v>
      </c>
      <c r="Q12">
        <v>-374</v>
      </c>
      <c r="R12">
        <v>1333</v>
      </c>
      <c r="S12">
        <v>14557</v>
      </c>
      <c r="T12">
        <v>15890</v>
      </c>
    </row>
    <row r="13" spans="1:20" x14ac:dyDescent="0.35">
      <c r="A13" t="s">
        <v>17</v>
      </c>
      <c r="B13" s="1">
        <v>42004</v>
      </c>
      <c r="C13">
        <v>-241</v>
      </c>
      <c r="D13">
        <v>974</v>
      </c>
      <c r="E13">
        <v>6842</v>
      </c>
      <c r="F13">
        <v>-4893</v>
      </c>
      <c r="H13">
        <v>-979</v>
      </c>
      <c r="I13">
        <v>3349</v>
      </c>
      <c r="J13">
        <v>-172</v>
      </c>
      <c r="K13">
        <v>-5065</v>
      </c>
      <c r="M13">
        <v>4426</v>
      </c>
      <c r="N13">
        <v>0</v>
      </c>
      <c r="P13">
        <v>4432</v>
      </c>
      <c r="Q13">
        <v>-310</v>
      </c>
      <c r="R13">
        <v>5899</v>
      </c>
      <c r="S13">
        <v>8658</v>
      </c>
      <c r="T13">
        <v>14557</v>
      </c>
    </row>
    <row r="14" spans="1:20" x14ac:dyDescent="0.35">
      <c r="A14" t="s">
        <v>17</v>
      </c>
      <c r="B14" s="1">
        <v>41639</v>
      </c>
      <c r="C14">
        <v>274</v>
      </c>
      <c r="D14">
        <v>767</v>
      </c>
      <c r="E14">
        <v>5475</v>
      </c>
      <c r="F14">
        <v>-3444</v>
      </c>
      <c r="H14">
        <v>-312</v>
      </c>
      <c r="I14">
        <v>2306</v>
      </c>
      <c r="J14">
        <v>-832</v>
      </c>
      <c r="K14">
        <v>-4276</v>
      </c>
      <c r="M14">
        <v>-617</v>
      </c>
      <c r="N14">
        <v>0</v>
      </c>
      <c r="P14">
        <v>-539</v>
      </c>
      <c r="Q14">
        <v>-86</v>
      </c>
      <c r="R14">
        <v>574</v>
      </c>
      <c r="S14">
        <v>8084</v>
      </c>
      <c r="T14">
        <v>8658</v>
      </c>
    </row>
    <row r="15" spans="1:20" x14ac:dyDescent="0.35">
      <c r="A15" t="s">
        <v>17</v>
      </c>
      <c r="B15" s="1">
        <v>41274</v>
      </c>
      <c r="C15">
        <v>-39</v>
      </c>
      <c r="D15">
        <v>1523</v>
      </c>
      <c r="E15">
        <v>4180</v>
      </c>
      <c r="F15">
        <v>-3785</v>
      </c>
      <c r="H15">
        <v>-745</v>
      </c>
      <c r="I15">
        <v>4237</v>
      </c>
      <c r="J15">
        <v>190</v>
      </c>
      <c r="K15">
        <v>-3595</v>
      </c>
      <c r="M15">
        <v>2790</v>
      </c>
      <c r="N15">
        <v>-960</v>
      </c>
      <c r="P15">
        <v>2259</v>
      </c>
      <c r="Q15">
        <v>-29</v>
      </c>
      <c r="R15">
        <v>2815</v>
      </c>
      <c r="S15">
        <v>5269</v>
      </c>
      <c r="T15">
        <v>8084</v>
      </c>
    </row>
    <row r="16" spans="1:20" x14ac:dyDescent="0.35">
      <c r="A16" t="s">
        <v>17</v>
      </c>
      <c r="B16" s="1">
        <v>40908</v>
      </c>
      <c r="C16">
        <v>631</v>
      </c>
      <c r="D16">
        <v>1464</v>
      </c>
      <c r="E16">
        <v>3903</v>
      </c>
      <c r="F16">
        <v>-1811</v>
      </c>
      <c r="H16">
        <v>-705</v>
      </c>
      <c r="I16">
        <v>6843</v>
      </c>
      <c r="J16">
        <v>-119</v>
      </c>
      <c r="K16">
        <v>-1930</v>
      </c>
      <c r="M16">
        <v>-267</v>
      </c>
      <c r="N16">
        <v>-277</v>
      </c>
      <c r="P16">
        <v>-482</v>
      </c>
      <c r="Q16">
        <v>1</v>
      </c>
      <c r="R16">
        <v>1492</v>
      </c>
      <c r="S16">
        <v>3777</v>
      </c>
      <c r="T16">
        <v>5269</v>
      </c>
    </row>
    <row r="17" spans="1:20" x14ac:dyDescent="0.35">
      <c r="A17" t="s">
        <v>17</v>
      </c>
      <c r="B17" s="1">
        <v>40543</v>
      </c>
      <c r="C17">
        <v>1152</v>
      </c>
      <c r="D17">
        <v>1581</v>
      </c>
      <c r="E17">
        <v>3495</v>
      </c>
      <c r="F17">
        <v>-979</v>
      </c>
      <c r="H17">
        <v>-352</v>
      </c>
      <c r="I17">
        <v>4250</v>
      </c>
      <c r="J17">
        <v>-2381</v>
      </c>
      <c r="K17">
        <v>-3360</v>
      </c>
      <c r="M17">
        <v>-78</v>
      </c>
      <c r="N17">
        <v>0</v>
      </c>
      <c r="P17">
        <v>181</v>
      </c>
      <c r="Q17">
        <v>17</v>
      </c>
      <c r="R17">
        <v>333</v>
      </c>
      <c r="S17">
        <v>3444</v>
      </c>
      <c r="T17">
        <v>3777</v>
      </c>
    </row>
    <row r="18" spans="1:20" x14ac:dyDescent="0.35">
      <c r="A18" t="s">
        <v>17</v>
      </c>
      <c r="B18" s="1">
        <v>40178</v>
      </c>
      <c r="C18">
        <v>902</v>
      </c>
      <c r="D18">
        <v>1612</v>
      </c>
      <c r="E18">
        <v>3293</v>
      </c>
      <c r="F18">
        <v>-373</v>
      </c>
      <c r="H18">
        <v>-40</v>
      </c>
      <c r="I18">
        <v>1966</v>
      </c>
      <c r="J18">
        <v>-1964</v>
      </c>
      <c r="K18">
        <v>-2337</v>
      </c>
      <c r="M18">
        <v>-385</v>
      </c>
      <c r="N18">
        <v>0</v>
      </c>
      <c r="P18">
        <v>-280</v>
      </c>
      <c r="Q18">
        <v>-1</v>
      </c>
      <c r="R18">
        <v>675</v>
      </c>
      <c r="S18">
        <v>2769</v>
      </c>
      <c r="T18">
        <v>3444</v>
      </c>
    </row>
    <row r="19" spans="1:20" x14ac:dyDescent="0.35">
      <c r="A19" t="s">
        <v>17</v>
      </c>
      <c r="B19" s="1">
        <v>39813</v>
      </c>
      <c r="C19">
        <v>645</v>
      </c>
      <c r="D19">
        <v>714</v>
      </c>
      <c r="E19">
        <v>1697</v>
      </c>
      <c r="F19">
        <v>-333</v>
      </c>
      <c r="H19">
        <v>-494</v>
      </c>
      <c r="I19">
        <v>1305</v>
      </c>
      <c r="J19">
        <v>-866</v>
      </c>
      <c r="K19">
        <v>-1199</v>
      </c>
      <c r="M19">
        <v>-268</v>
      </c>
      <c r="N19">
        <v>-89</v>
      </c>
      <c r="P19">
        <v>-198</v>
      </c>
      <c r="Q19">
        <v>-70</v>
      </c>
      <c r="R19">
        <v>230</v>
      </c>
      <c r="S19">
        <v>2539</v>
      </c>
      <c r="T19">
        <v>2769</v>
      </c>
    </row>
    <row r="20" spans="1:20" x14ac:dyDescent="0.35">
      <c r="A20" t="s">
        <v>17</v>
      </c>
      <c r="B20" s="1">
        <v>39447</v>
      </c>
      <c r="C20">
        <v>476</v>
      </c>
      <c r="D20">
        <v>832</v>
      </c>
      <c r="E20">
        <v>1405</v>
      </c>
      <c r="F20">
        <v>-224</v>
      </c>
      <c r="H20">
        <v>-75</v>
      </c>
      <c r="I20">
        <v>1271</v>
      </c>
      <c r="J20">
        <v>266</v>
      </c>
      <c r="K20">
        <v>42</v>
      </c>
      <c r="M20">
        <v>-50</v>
      </c>
      <c r="N20">
        <v>-157</v>
      </c>
      <c r="P20">
        <v>50</v>
      </c>
      <c r="Q20">
        <v>20</v>
      </c>
      <c r="R20">
        <v>1517</v>
      </c>
      <c r="S20">
        <v>1022</v>
      </c>
      <c r="T20">
        <v>2539</v>
      </c>
    </row>
    <row r="21" spans="1:20" x14ac:dyDescent="0.35">
      <c r="A21" t="s">
        <v>17</v>
      </c>
      <c r="B21" s="1">
        <v>39082</v>
      </c>
      <c r="C21">
        <v>190</v>
      </c>
      <c r="D21">
        <v>284</v>
      </c>
      <c r="E21">
        <v>702</v>
      </c>
      <c r="F21">
        <v>-216</v>
      </c>
      <c r="H21">
        <v>-32</v>
      </c>
      <c r="I21">
        <v>1845</v>
      </c>
      <c r="J21">
        <v>-117</v>
      </c>
      <c r="K21">
        <v>-333</v>
      </c>
      <c r="M21">
        <v>-285</v>
      </c>
      <c r="N21">
        <v>-217</v>
      </c>
      <c r="P21">
        <v>-400</v>
      </c>
      <c r="Q21">
        <v>40</v>
      </c>
      <c r="R21">
        <v>9</v>
      </c>
      <c r="S21">
        <v>1013</v>
      </c>
      <c r="T21">
        <v>1022</v>
      </c>
    </row>
    <row r="22" spans="1:20" x14ac:dyDescent="0.35">
      <c r="A22" t="s">
        <v>58</v>
      </c>
      <c r="B22" s="1">
        <v>46022</v>
      </c>
      <c r="C22">
        <v>101832</v>
      </c>
      <c r="D22">
        <v>-5350</v>
      </c>
      <c r="E22">
        <v>136162</v>
      </c>
      <c r="F22">
        <v>-64551</v>
      </c>
      <c r="H22">
        <v>-5978</v>
      </c>
      <c r="I22">
        <v>25388</v>
      </c>
      <c r="J22">
        <v>-8048</v>
      </c>
      <c r="K22">
        <v>-72599</v>
      </c>
      <c r="L22">
        <v>-5746</v>
      </c>
      <c r="M22">
        <v>-8962</v>
      </c>
      <c r="N22">
        <v>-16364</v>
      </c>
      <c r="O22">
        <v>-24082</v>
      </c>
      <c r="P22">
        <v>-51699</v>
      </c>
      <c r="Q22">
        <v>63</v>
      </c>
      <c r="R22">
        <v>11927</v>
      </c>
      <c r="S22">
        <v>18315</v>
      </c>
      <c r="T22">
        <v>30242</v>
      </c>
    </row>
    <row r="23" spans="1:20" x14ac:dyDescent="0.35">
      <c r="A23" t="s">
        <v>58</v>
      </c>
      <c r="B23" s="1">
        <v>45657</v>
      </c>
      <c r="C23">
        <v>88136</v>
      </c>
      <c r="D23">
        <v>1824</v>
      </c>
      <c r="E23">
        <v>118548</v>
      </c>
      <c r="F23">
        <v>-44477</v>
      </c>
      <c r="H23">
        <v>-69132</v>
      </c>
      <c r="I23">
        <v>35669</v>
      </c>
      <c r="J23">
        <v>-52493</v>
      </c>
      <c r="K23">
        <v>-96970</v>
      </c>
      <c r="L23">
        <v>5250</v>
      </c>
      <c r="M23">
        <v>575</v>
      </c>
      <c r="N23">
        <v>-15252</v>
      </c>
      <c r="O23">
        <v>-21771</v>
      </c>
      <c r="P23">
        <v>-37757</v>
      </c>
      <c r="Q23">
        <v>-210</v>
      </c>
      <c r="R23">
        <v>-16389</v>
      </c>
      <c r="S23">
        <v>34704</v>
      </c>
      <c r="T23">
        <v>18315</v>
      </c>
    </row>
    <row r="24" spans="1:20" x14ac:dyDescent="0.35">
      <c r="A24" t="s">
        <v>58</v>
      </c>
      <c r="B24" s="1">
        <v>45291</v>
      </c>
      <c r="C24">
        <v>72361</v>
      </c>
      <c r="D24">
        <v>-2388</v>
      </c>
      <c r="E24">
        <v>87582</v>
      </c>
      <c r="F24">
        <v>-28107</v>
      </c>
      <c r="H24">
        <v>-1670</v>
      </c>
      <c r="I24">
        <v>47864</v>
      </c>
      <c r="J24">
        <v>5427</v>
      </c>
      <c r="K24">
        <v>-22680</v>
      </c>
      <c r="M24">
        <v>-2750</v>
      </c>
      <c r="N24">
        <v>-20379</v>
      </c>
      <c r="O24">
        <v>-19800</v>
      </c>
      <c r="P24">
        <v>-43935</v>
      </c>
      <c r="Q24">
        <v>-194</v>
      </c>
      <c r="R24">
        <v>20773</v>
      </c>
      <c r="S24">
        <v>13931</v>
      </c>
      <c r="T24">
        <v>34704</v>
      </c>
    </row>
    <row r="25" spans="1:20" x14ac:dyDescent="0.35">
      <c r="A25" t="s">
        <v>58</v>
      </c>
      <c r="B25" s="1">
        <v>44926</v>
      </c>
      <c r="C25">
        <v>72738</v>
      </c>
      <c r="D25">
        <v>446</v>
      </c>
      <c r="E25">
        <v>89035</v>
      </c>
      <c r="F25">
        <v>-23886</v>
      </c>
      <c r="H25">
        <v>-22038</v>
      </c>
      <c r="I25">
        <v>44894</v>
      </c>
      <c r="J25">
        <v>-6425</v>
      </c>
      <c r="K25">
        <v>-30311</v>
      </c>
      <c r="M25">
        <v>-9023</v>
      </c>
      <c r="N25">
        <v>-30855</v>
      </c>
      <c r="O25">
        <v>-18135</v>
      </c>
      <c r="P25">
        <v>-58876</v>
      </c>
      <c r="Q25">
        <v>-141</v>
      </c>
      <c r="R25">
        <v>-293</v>
      </c>
      <c r="S25">
        <v>14224</v>
      </c>
      <c r="T25">
        <v>13931</v>
      </c>
    </row>
    <row r="26" spans="1:20" x14ac:dyDescent="0.35">
      <c r="A26" t="s">
        <v>58</v>
      </c>
      <c r="B26" s="1">
        <v>44561</v>
      </c>
      <c r="C26">
        <v>61271</v>
      </c>
      <c r="D26">
        <v>-936</v>
      </c>
      <c r="E26">
        <v>76740</v>
      </c>
      <c r="F26">
        <v>-20622</v>
      </c>
      <c r="H26">
        <v>-8909</v>
      </c>
      <c r="I26">
        <v>65800</v>
      </c>
      <c r="J26">
        <v>-6955</v>
      </c>
      <c r="K26">
        <v>-27577</v>
      </c>
      <c r="M26">
        <v>-3750</v>
      </c>
      <c r="N26">
        <v>-25692</v>
      </c>
      <c r="O26">
        <v>-16521</v>
      </c>
      <c r="P26">
        <v>-48486</v>
      </c>
      <c r="Q26">
        <v>-29</v>
      </c>
      <c r="R26">
        <v>648</v>
      </c>
      <c r="S26">
        <v>13576</v>
      </c>
      <c r="T26">
        <v>14224</v>
      </c>
    </row>
    <row r="27" spans="1:20" x14ac:dyDescent="0.35">
      <c r="A27" t="s">
        <v>58</v>
      </c>
      <c r="B27" s="1">
        <v>44196</v>
      </c>
      <c r="C27">
        <v>44281</v>
      </c>
      <c r="D27">
        <v>-1483</v>
      </c>
      <c r="E27">
        <v>60675</v>
      </c>
      <c r="F27">
        <v>-15441</v>
      </c>
      <c r="H27">
        <v>-2521</v>
      </c>
      <c r="I27">
        <v>84170</v>
      </c>
      <c r="J27">
        <v>3218</v>
      </c>
      <c r="K27">
        <v>-12223</v>
      </c>
      <c r="L27">
        <v>0</v>
      </c>
      <c r="M27">
        <v>-5518</v>
      </c>
      <c r="N27">
        <v>-21625</v>
      </c>
      <c r="O27">
        <v>-15137</v>
      </c>
      <c r="P27">
        <v>-46031</v>
      </c>
      <c r="Q27">
        <v>-201</v>
      </c>
      <c r="R27">
        <v>2220</v>
      </c>
      <c r="S27">
        <v>11356</v>
      </c>
      <c r="T27">
        <v>13576</v>
      </c>
    </row>
    <row r="28" spans="1:20" x14ac:dyDescent="0.35">
      <c r="A28" t="s">
        <v>58</v>
      </c>
      <c r="B28" s="1">
        <v>43830</v>
      </c>
      <c r="C28">
        <v>39240</v>
      </c>
      <c r="D28">
        <v>3866</v>
      </c>
      <c r="E28">
        <v>52185</v>
      </c>
      <c r="F28">
        <v>-13925</v>
      </c>
      <c r="H28">
        <v>-2388</v>
      </c>
      <c r="I28">
        <v>58237</v>
      </c>
      <c r="J28">
        <v>-1848</v>
      </c>
      <c r="K28">
        <v>-15773</v>
      </c>
      <c r="L28">
        <v>0</v>
      </c>
      <c r="M28">
        <v>-4000</v>
      </c>
      <c r="N28">
        <v>-18401</v>
      </c>
      <c r="O28">
        <v>-13811</v>
      </c>
      <c r="P28">
        <v>-36887</v>
      </c>
      <c r="Q28">
        <v>-115</v>
      </c>
      <c r="R28">
        <v>-590</v>
      </c>
      <c r="S28">
        <v>11946</v>
      </c>
      <c r="T28">
        <v>11356</v>
      </c>
    </row>
    <row r="29" spans="1:20" x14ac:dyDescent="0.35">
      <c r="A29" t="s">
        <v>58</v>
      </c>
      <c r="B29" s="1">
        <v>43465</v>
      </c>
      <c r="C29">
        <v>16571</v>
      </c>
      <c r="D29">
        <v>20467</v>
      </c>
      <c r="E29">
        <v>43884</v>
      </c>
      <c r="F29">
        <v>-11632</v>
      </c>
      <c r="H29">
        <v>-888</v>
      </c>
      <c r="I29">
        <v>143937</v>
      </c>
      <c r="J29">
        <v>5571</v>
      </c>
      <c r="K29">
        <v>-6061</v>
      </c>
      <c r="L29">
        <v>-7324</v>
      </c>
      <c r="M29">
        <v>-10201</v>
      </c>
      <c r="N29">
        <v>-9719</v>
      </c>
      <c r="O29">
        <v>-12699</v>
      </c>
      <c r="P29">
        <v>-33590</v>
      </c>
      <c r="Q29">
        <v>50</v>
      </c>
      <c r="R29">
        <v>4283</v>
      </c>
      <c r="S29">
        <v>7663</v>
      </c>
      <c r="T29">
        <v>11946</v>
      </c>
    </row>
    <row r="30" spans="1:20" x14ac:dyDescent="0.35">
      <c r="A30" t="s">
        <v>58</v>
      </c>
      <c r="B30" s="1">
        <v>43100</v>
      </c>
      <c r="C30">
        <v>21204</v>
      </c>
      <c r="D30">
        <v>1652</v>
      </c>
      <c r="E30">
        <v>39507</v>
      </c>
      <c r="F30">
        <v>-8129</v>
      </c>
      <c r="H30">
        <v>-25944</v>
      </c>
      <c r="I30">
        <v>164394</v>
      </c>
      <c r="J30">
        <v>-38652</v>
      </c>
      <c r="K30">
        <v>-46781</v>
      </c>
      <c r="L30">
        <v>-4963</v>
      </c>
      <c r="M30">
        <v>31459</v>
      </c>
      <c r="N30">
        <v>-11016</v>
      </c>
      <c r="O30">
        <v>-11845</v>
      </c>
      <c r="P30">
        <v>8408</v>
      </c>
      <c r="Q30">
        <v>19</v>
      </c>
      <c r="R30">
        <v>1153</v>
      </c>
      <c r="S30">
        <v>6510</v>
      </c>
      <c r="T30">
        <v>7663</v>
      </c>
    </row>
    <row r="31" spans="1:20" x14ac:dyDescent="0.35">
      <c r="A31" t="s">
        <v>58</v>
      </c>
      <c r="B31" s="1">
        <v>42735</v>
      </c>
      <c r="C31">
        <v>16798</v>
      </c>
      <c r="D31">
        <v>-2076</v>
      </c>
      <c r="E31">
        <v>33325</v>
      </c>
      <c r="F31">
        <v>-8343</v>
      </c>
      <c r="H31">
        <v>-1393</v>
      </c>
      <c r="I31">
        <v>115341</v>
      </c>
      <c r="J31">
        <v>-15607</v>
      </c>
      <c r="K31">
        <v>-23950</v>
      </c>
      <c r="L31">
        <v>7195</v>
      </c>
      <c r="M31">
        <v>18283</v>
      </c>
      <c r="N31">
        <v>-15301</v>
      </c>
      <c r="O31">
        <v>-11006</v>
      </c>
      <c r="P31">
        <v>-8393</v>
      </c>
      <c r="Q31">
        <v>-67</v>
      </c>
      <c r="R31">
        <v>915</v>
      </c>
      <c r="S31">
        <v>5595</v>
      </c>
      <c r="T31">
        <v>6510</v>
      </c>
    </row>
    <row r="32" spans="1:20" x14ac:dyDescent="0.35">
      <c r="A32" t="s">
        <v>58</v>
      </c>
      <c r="B32" s="1">
        <v>42369</v>
      </c>
      <c r="C32">
        <v>12193</v>
      </c>
      <c r="D32">
        <v>1513</v>
      </c>
      <c r="E32">
        <v>29080</v>
      </c>
      <c r="F32">
        <v>-5944</v>
      </c>
      <c r="H32">
        <v>-3723</v>
      </c>
      <c r="I32">
        <v>85861</v>
      </c>
      <c r="J32">
        <v>-17057</v>
      </c>
      <c r="K32">
        <v>-23001</v>
      </c>
      <c r="L32">
        <v>4481</v>
      </c>
      <c r="M32">
        <v>13661</v>
      </c>
      <c r="N32">
        <v>-13809</v>
      </c>
      <c r="O32">
        <v>-9882</v>
      </c>
      <c r="P32">
        <v>-9080</v>
      </c>
      <c r="Q32">
        <v>-73</v>
      </c>
      <c r="R32">
        <v>-3074</v>
      </c>
      <c r="S32">
        <v>8669</v>
      </c>
      <c r="T32">
        <v>5595</v>
      </c>
    </row>
    <row r="33" spans="1:20" x14ac:dyDescent="0.35">
      <c r="A33" t="s">
        <v>58</v>
      </c>
      <c r="B33" s="1">
        <v>42004</v>
      </c>
      <c r="C33">
        <v>22074</v>
      </c>
      <c r="D33">
        <v>624</v>
      </c>
      <c r="E33">
        <v>32231</v>
      </c>
      <c r="F33">
        <v>-5485</v>
      </c>
      <c r="H33">
        <v>-5937</v>
      </c>
      <c r="I33">
        <v>65366</v>
      </c>
      <c r="J33">
        <v>-13348</v>
      </c>
      <c r="K33">
        <v>-18833</v>
      </c>
      <c r="L33">
        <v>500</v>
      </c>
      <c r="M33">
        <v>6962</v>
      </c>
      <c r="N33">
        <v>-6709</v>
      </c>
      <c r="O33">
        <v>-8879</v>
      </c>
      <c r="P33">
        <v>-8394</v>
      </c>
      <c r="Q33">
        <v>-139</v>
      </c>
      <c r="R33">
        <v>4865</v>
      </c>
      <c r="S33">
        <v>3804</v>
      </c>
      <c r="T33">
        <v>8669</v>
      </c>
    </row>
    <row r="34" spans="1:20" x14ac:dyDescent="0.35">
      <c r="A34" t="s">
        <v>58</v>
      </c>
      <c r="B34" s="1">
        <v>41639</v>
      </c>
      <c r="C34">
        <v>21863</v>
      </c>
      <c r="D34">
        <v>-1375</v>
      </c>
      <c r="E34">
        <v>28833</v>
      </c>
      <c r="F34">
        <v>-4257</v>
      </c>
      <c r="H34">
        <v>-1584</v>
      </c>
      <c r="I34">
        <v>57594</v>
      </c>
      <c r="J34">
        <v>-19554</v>
      </c>
      <c r="K34">
        <v>-23811</v>
      </c>
      <c r="L34">
        <v>0</v>
      </c>
      <c r="M34">
        <v>3537</v>
      </c>
      <c r="N34">
        <v>-4429</v>
      </c>
      <c r="O34">
        <v>-7455</v>
      </c>
      <c r="P34">
        <v>-8148</v>
      </c>
      <c r="Q34">
        <v>-8</v>
      </c>
      <c r="R34">
        <v>-3134</v>
      </c>
      <c r="S34">
        <v>6938</v>
      </c>
      <c r="T34">
        <v>3804</v>
      </c>
    </row>
    <row r="35" spans="1:20" x14ac:dyDescent="0.35">
      <c r="A35" t="s">
        <v>58</v>
      </c>
      <c r="B35" s="1">
        <v>41274</v>
      </c>
      <c r="C35">
        <v>16978</v>
      </c>
      <c r="D35">
        <v>-174</v>
      </c>
      <c r="E35">
        <v>31626</v>
      </c>
      <c r="F35">
        <v>-2305</v>
      </c>
      <c r="H35">
        <v>-10112</v>
      </c>
      <c r="I35">
        <v>45275</v>
      </c>
      <c r="J35">
        <v>-22481</v>
      </c>
      <c r="K35">
        <v>-24786</v>
      </c>
      <c r="L35">
        <v>0</v>
      </c>
      <c r="M35">
        <v>0</v>
      </c>
      <c r="N35">
        <v>-3116</v>
      </c>
      <c r="O35">
        <v>-6385</v>
      </c>
      <c r="P35">
        <v>-9408</v>
      </c>
      <c r="Q35">
        <v>-104</v>
      </c>
      <c r="R35">
        <v>-2672</v>
      </c>
      <c r="S35">
        <v>9610</v>
      </c>
      <c r="T35">
        <v>6938</v>
      </c>
    </row>
    <row r="36" spans="1:20" x14ac:dyDescent="0.35">
      <c r="A36" t="s">
        <v>58</v>
      </c>
      <c r="B36" s="1">
        <v>40908</v>
      </c>
      <c r="C36">
        <v>23150</v>
      </c>
      <c r="D36">
        <v>-3003</v>
      </c>
      <c r="E36">
        <v>26994</v>
      </c>
      <c r="F36">
        <v>-2355</v>
      </c>
      <c r="H36">
        <v>-71</v>
      </c>
      <c r="I36">
        <v>22777</v>
      </c>
      <c r="J36">
        <v>-12261</v>
      </c>
      <c r="K36">
        <v>-14616</v>
      </c>
      <c r="L36">
        <v>-186</v>
      </c>
      <c r="M36">
        <v>5960</v>
      </c>
      <c r="N36">
        <v>-9133</v>
      </c>
      <c r="O36">
        <v>-5180</v>
      </c>
      <c r="P36">
        <v>-8376</v>
      </c>
      <c r="Q36">
        <v>103</v>
      </c>
      <c r="R36">
        <v>4105</v>
      </c>
      <c r="S36">
        <v>5505</v>
      </c>
      <c r="T36">
        <v>9610</v>
      </c>
    </row>
    <row r="37" spans="1:20" x14ac:dyDescent="0.35">
      <c r="A37" t="s">
        <v>58</v>
      </c>
      <c r="B37" s="1">
        <v>40543</v>
      </c>
      <c r="C37">
        <v>18760</v>
      </c>
      <c r="D37">
        <v>661</v>
      </c>
      <c r="E37">
        <v>24073</v>
      </c>
      <c r="F37">
        <v>-1977</v>
      </c>
      <c r="H37">
        <v>-245</v>
      </c>
      <c r="I37">
        <v>22578</v>
      </c>
      <c r="J37">
        <v>-9337</v>
      </c>
      <c r="K37">
        <v>-11314</v>
      </c>
      <c r="L37">
        <v>-991</v>
      </c>
      <c r="M37">
        <v>190</v>
      </c>
      <c r="N37">
        <v>-8958</v>
      </c>
      <c r="O37">
        <v>-4578</v>
      </c>
      <c r="P37">
        <v>-13291</v>
      </c>
      <c r="Q37">
        <v>-39</v>
      </c>
      <c r="R37">
        <v>-571</v>
      </c>
      <c r="S37">
        <v>6076</v>
      </c>
      <c r="T37">
        <v>5505</v>
      </c>
    </row>
    <row r="38" spans="1:20" x14ac:dyDescent="0.35">
      <c r="A38" t="s">
        <v>58</v>
      </c>
      <c r="B38" s="1">
        <v>40178</v>
      </c>
      <c r="C38">
        <v>14569</v>
      </c>
      <c r="D38">
        <v>-178</v>
      </c>
      <c r="E38">
        <v>19037</v>
      </c>
      <c r="F38">
        <v>-3119</v>
      </c>
      <c r="H38">
        <v>-868</v>
      </c>
      <c r="I38">
        <v>25997</v>
      </c>
      <c r="J38">
        <v>-12651</v>
      </c>
      <c r="K38">
        <v>-15770</v>
      </c>
      <c r="L38">
        <v>1178</v>
      </c>
      <c r="M38">
        <v>5746</v>
      </c>
      <c r="N38">
        <v>-8774</v>
      </c>
      <c r="O38">
        <v>-4468</v>
      </c>
      <c r="P38">
        <v>-7463</v>
      </c>
      <c r="Q38">
        <v>-67</v>
      </c>
      <c r="R38">
        <v>-4263</v>
      </c>
      <c r="S38">
        <v>10339</v>
      </c>
      <c r="T38">
        <v>6076</v>
      </c>
    </row>
    <row r="39" spans="1:20" x14ac:dyDescent="0.35">
      <c r="A39" t="s">
        <v>58</v>
      </c>
      <c r="B39" s="1">
        <v>39813</v>
      </c>
      <c r="C39">
        <v>17681</v>
      </c>
      <c r="D39">
        <v>-2435</v>
      </c>
      <c r="E39">
        <v>21612</v>
      </c>
      <c r="F39">
        <v>-3182</v>
      </c>
      <c r="H39">
        <v>-8053</v>
      </c>
      <c r="I39">
        <v>27729</v>
      </c>
      <c r="J39">
        <v>-1405</v>
      </c>
      <c r="K39">
        <v>-4587</v>
      </c>
      <c r="L39">
        <v>0</v>
      </c>
      <c r="M39">
        <v>0</v>
      </c>
      <c r="N39">
        <v>-9039</v>
      </c>
      <c r="O39">
        <v>-4015</v>
      </c>
      <c r="P39">
        <v>-12934</v>
      </c>
      <c r="Q39">
        <v>137</v>
      </c>
      <c r="R39">
        <v>4228</v>
      </c>
      <c r="S39">
        <v>6111</v>
      </c>
      <c r="T39">
        <v>10339</v>
      </c>
    </row>
    <row r="40" spans="1:20" x14ac:dyDescent="0.35">
      <c r="A40" t="s">
        <v>58</v>
      </c>
      <c r="B40" s="1">
        <v>39447</v>
      </c>
      <c r="C40">
        <v>14065</v>
      </c>
      <c r="D40">
        <v>-961</v>
      </c>
      <c r="E40">
        <v>17796</v>
      </c>
      <c r="F40">
        <v>-2264</v>
      </c>
      <c r="H40">
        <v>-1150</v>
      </c>
      <c r="I40">
        <v>46187</v>
      </c>
      <c r="J40">
        <v>8353</v>
      </c>
      <c r="K40">
        <v>6089</v>
      </c>
      <c r="N40">
        <v>-20793</v>
      </c>
      <c r="O40">
        <v>-3805</v>
      </c>
      <c r="P40">
        <v>-24544</v>
      </c>
      <c r="Q40">
        <v>56</v>
      </c>
      <c r="R40">
        <v>-603</v>
      </c>
      <c r="S40">
        <v>6714</v>
      </c>
      <c r="T40">
        <v>6111</v>
      </c>
    </row>
    <row r="41" spans="1:20" x14ac:dyDescent="0.35">
      <c r="A41" t="s">
        <v>58</v>
      </c>
      <c r="B41" s="1">
        <v>39082</v>
      </c>
      <c r="C41">
        <v>12599</v>
      </c>
      <c r="D41">
        <v>-2397</v>
      </c>
      <c r="E41">
        <v>14404</v>
      </c>
      <c r="F41">
        <v>-1578</v>
      </c>
      <c r="H41">
        <v>-649</v>
      </c>
      <c r="I41">
        <v>58230</v>
      </c>
      <c r="J41">
        <v>9581</v>
      </c>
      <c r="K41">
        <v>8003</v>
      </c>
      <c r="N41">
        <v>-17106</v>
      </c>
      <c r="O41">
        <v>-3545</v>
      </c>
      <c r="P41">
        <v>-20562</v>
      </c>
      <c r="Q41">
        <v>18</v>
      </c>
      <c r="R41">
        <v>1863</v>
      </c>
      <c r="S41">
        <v>4851</v>
      </c>
      <c r="T41">
        <v>6714</v>
      </c>
    </row>
    <row r="42" spans="1:20" x14ac:dyDescent="0.35">
      <c r="A42" t="s">
        <v>59</v>
      </c>
      <c r="B42" s="1">
        <v>46022</v>
      </c>
      <c r="C42">
        <v>132170</v>
      </c>
      <c r="D42">
        <v>618</v>
      </c>
      <c r="E42">
        <v>164713</v>
      </c>
      <c r="F42">
        <v>-91447</v>
      </c>
      <c r="H42">
        <v>-1592</v>
      </c>
      <c r="I42">
        <v>84607</v>
      </c>
      <c r="J42">
        <v>-28844</v>
      </c>
      <c r="K42">
        <v>-120291</v>
      </c>
      <c r="M42">
        <v>32137</v>
      </c>
      <c r="N42">
        <v>-45709</v>
      </c>
      <c r="O42">
        <v>-10049</v>
      </c>
      <c r="P42">
        <v>-37388</v>
      </c>
      <c r="Q42">
        <v>208</v>
      </c>
      <c r="R42">
        <v>7242</v>
      </c>
      <c r="S42">
        <v>23466</v>
      </c>
      <c r="T42">
        <v>30708</v>
      </c>
    </row>
    <row r="43" spans="1:20" x14ac:dyDescent="0.35">
      <c r="A43" t="s">
        <v>59</v>
      </c>
      <c r="B43" s="1">
        <v>45657</v>
      </c>
      <c r="C43">
        <v>100118</v>
      </c>
      <c r="D43">
        <v>-8406</v>
      </c>
      <c r="E43">
        <v>125299</v>
      </c>
      <c r="F43">
        <v>-52535</v>
      </c>
      <c r="H43">
        <v>-2931</v>
      </c>
      <c r="I43">
        <v>104310</v>
      </c>
      <c r="J43">
        <v>6999</v>
      </c>
      <c r="K43">
        <v>-45536</v>
      </c>
      <c r="M43">
        <v>888</v>
      </c>
      <c r="N43">
        <v>-62222</v>
      </c>
      <c r="O43">
        <v>-7363</v>
      </c>
      <c r="P43">
        <v>-79733</v>
      </c>
      <c r="Q43">
        <v>-612</v>
      </c>
      <c r="R43">
        <v>-582</v>
      </c>
      <c r="S43">
        <v>24048</v>
      </c>
      <c r="T43">
        <v>23466</v>
      </c>
    </row>
    <row r="44" spans="1:20" x14ac:dyDescent="0.35">
      <c r="A44" t="s">
        <v>59</v>
      </c>
      <c r="B44" s="1">
        <v>45291</v>
      </c>
      <c r="C44">
        <v>73795</v>
      </c>
      <c r="D44">
        <v>-3845</v>
      </c>
      <c r="E44">
        <v>101746</v>
      </c>
      <c r="F44">
        <v>-32251</v>
      </c>
      <c r="H44">
        <v>-495</v>
      </c>
      <c r="I44">
        <v>87619</v>
      </c>
      <c r="J44">
        <v>5188</v>
      </c>
      <c r="K44">
        <v>-27063</v>
      </c>
      <c r="M44">
        <v>-760</v>
      </c>
      <c r="N44">
        <v>-61504</v>
      </c>
      <c r="P44">
        <v>-72093</v>
      </c>
      <c r="Q44">
        <v>-421</v>
      </c>
      <c r="R44">
        <v>2169</v>
      </c>
      <c r="S44">
        <v>21879</v>
      </c>
      <c r="T44">
        <v>24048</v>
      </c>
    </row>
    <row r="45" spans="1:20" x14ac:dyDescent="0.35">
      <c r="A45" t="s">
        <v>59</v>
      </c>
      <c r="B45" s="1">
        <v>44926</v>
      </c>
      <c r="C45">
        <v>59972</v>
      </c>
      <c r="D45">
        <v>-2235</v>
      </c>
      <c r="E45">
        <v>91495</v>
      </c>
      <c r="F45">
        <v>-31485</v>
      </c>
      <c r="H45">
        <v>-6969</v>
      </c>
      <c r="I45">
        <v>97972</v>
      </c>
      <c r="J45">
        <v>11187</v>
      </c>
      <c r="K45">
        <v>-20298</v>
      </c>
      <c r="M45">
        <v>-1196</v>
      </c>
      <c r="N45">
        <v>-59296</v>
      </c>
      <c r="P45">
        <v>-69757</v>
      </c>
      <c r="Q45">
        <v>-506</v>
      </c>
      <c r="R45">
        <v>934</v>
      </c>
      <c r="S45">
        <v>20945</v>
      </c>
      <c r="T45">
        <v>21879</v>
      </c>
    </row>
    <row r="46" spans="1:20" x14ac:dyDescent="0.35">
      <c r="A46" t="s">
        <v>59</v>
      </c>
      <c r="B46" s="1">
        <v>44561</v>
      </c>
      <c r="C46">
        <v>76033</v>
      </c>
      <c r="D46">
        <v>-1523</v>
      </c>
      <c r="E46">
        <v>91652</v>
      </c>
      <c r="F46">
        <v>-24640</v>
      </c>
      <c r="H46">
        <v>-2618</v>
      </c>
      <c r="I46">
        <v>129228</v>
      </c>
      <c r="J46">
        <v>-10883</v>
      </c>
      <c r="K46">
        <v>-35523</v>
      </c>
      <c r="M46">
        <v>-1236</v>
      </c>
      <c r="N46">
        <v>-50274</v>
      </c>
      <c r="P46">
        <v>-61362</v>
      </c>
      <c r="Q46">
        <v>-287</v>
      </c>
      <c r="R46">
        <v>-5520</v>
      </c>
      <c r="S46">
        <v>26465</v>
      </c>
      <c r="T46">
        <v>20945</v>
      </c>
    </row>
    <row r="47" spans="1:20" x14ac:dyDescent="0.35">
      <c r="A47" t="s">
        <v>59</v>
      </c>
      <c r="B47" s="1">
        <v>44196</v>
      </c>
      <c r="C47">
        <v>40269</v>
      </c>
      <c r="D47">
        <v>1827</v>
      </c>
      <c r="E47">
        <v>65124</v>
      </c>
      <c r="F47">
        <v>-22281</v>
      </c>
      <c r="H47">
        <v>-738</v>
      </c>
      <c r="I47">
        <v>133929</v>
      </c>
      <c r="J47">
        <v>-10492</v>
      </c>
      <c r="K47">
        <v>-32773</v>
      </c>
      <c r="M47">
        <v>9661</v>
      </c>
      <c r="N47">
        <v>-31149</v>
      </c>
      <c r="P47">
        <v>-24408</v>
      </c>
      <c r="Q47">
        <v>24</v>
      </c>
      <c r="R47">
        <v>7967</v>
      </c>
      <c r="S47">
        <v>18498</v>
      </c>
      <c r="T47">
        <v>26465</v>
      </c>
    </row>
    <row r="48" spans="1:20" x14ac:dyDescent="0.35">
      <c r="A48" t="s">
        <v>59</v>
      </c>
      <c r="B48" s="1">
        <v>43830</v>
      </c>
      <c r="C48">
        <v>34343</v>
      </c>
      <c r="D48">
        <v>819</v>
      </c>
      <c r="E48">
        <v>54520</v>
      </c>
      <c r="F48">
        <v>-23548</v>
      </c>
      <c r="G48">
        <v>589</v>
      </c>
      <c r="H48">
        <v>-2515</v>
      </c>
      <c r="I48">
        <v>98230</v>
      </c>
      <c r="J48">
        <v>-5943</v>
      </c>
      <c r="K48">
        <v>-29491</v>
      </c>
      <c r="M48">
        <v>-268</v>
      </c>
      <c r="N48">
        <v>-18396</v>
      </c>
      <c r="P48">
        <v>-23209</v>
      </c>
      <c r="Q48">
        <v>-23</v>
      </c>
      <c r="R48">
        <v>1797</v>
      </c>
      <c r="S48">
        <v>16701</v>
      </c>
      <c r="T48">
        <v>18498</v>
      </c>
    </row>
    <row r="49" spans="1:20" x14ac:dyDescent="0.35">
      <c r="A49" t="s">
        <v>59</v>
      </c>
      <c r="B49" s="1">
        <v>43465</v>
      </c>
      <c r="C49">
        <v>30736</v>
      </c>
      <c r="D49">
        <v>4908</v>
      </c>
      <c r="E49">
        <v>47971</v>
      </c>
      <c r="F49">
        <v>-25139</v>
      </c>
      <c r="G49">
        <v>98</v>
      </c>
      <c r="H49">
        <v>-1491</v>
      </c>
      <c r="I49">
        <v>50259</v>
      </c>
      <c r="J49">
        <v>-3365</v>
      </c>
      <c r="K49">
        <v>-28504</v>
      </c>
      <c r="M49">
        <v>-61</v>
      </c>
      <c r="N49">
        <v>-8125</v>
      </c>
      <c r="P49">
        <v>-13179</v>
      </c>
      <c r="Q49">
        <v>-302</v>
      </c>
      <c r="R49">
        <v>5986</v>
      </c>
      <c r="S49">
        <v>10715</v>
      </c>
      <c r="T49">
        <v>16701</v>
      </c>
    </row>
    <row r="50" spans="1:20" x14ac:dyDescent="0.35">
      <c r="A50" t="s">
        <v>59</v>
      </c>
      <c r="B50" s="1">
        <v>43100</v>
      </c>
      <c r="C50">
        <v>12662</v>
      </c>
      <c r="D50">
        <v>9246</v>
      </c>
      <c r="E50">
        <v>37091</v>
      </c>
      <c r="F50">
        <v>-13184</v>
      </c>
      <c r="G50">
        <v>99</v>
      </c>
      <c r="H50">
        <v>-287</v>
      </c>
      <c r="I50">
        <v>74492</v>
      </c>
      <c r="J50">
        <v>-18217</v>
      </c>
      <c r="K50">
        <v>-31401</v>
      </c>
      <c r="M50">
        <v>-86</v>
      </c>
      <c r="N50">
        <v>-4046</v>
      </c>
      <c r="P50">
        <v>-8298</v>
      </c>
      <c r="Q50">
        <v>405</v>
      </c>
      <c r="R50">
        <v>-2203</v>
      </c>
      <c r="S50">
        <v>12918</v>
      </c>
      <c r="T50">
        <v>10715</v>
      </c>
    </row>
    <row r="51" spans="1:20" x14ac:dyDescent="0.35">
      <c r="A51" t="s">
        <v>59</v>
      </c>
      <c r="B51" s="1">
        <v>42735</v>
      </c>
      <c r="C51">
        <v>19478</v>
      </c>
      <c r="D51">
        <v>3300</v>
      </c>
      <c r="E51">
        <v>36036</v>
      </c>
      <c r="F51">
        <v>-10212</v>
      </c>
      <c r="G51">
        <v>240</v>
      </c>
      <c r="H51">
        <v>-986</v>
      </c>
      <c r="I51">
        <v>67389</v>
      </c>
      <c r="J51">
        <v>-20953</v>
      </c>
      <c r="K51">
        <v>-31165</v>
      </c>
      <c r="M51">
        <v>-1335</v>
      </c>
      <c r="N51">
        <v>-3693</v>
      </c>
      <c r="P51">
        <v>-8332</v>
      </c>
      <c r="Q51">
        <v>-170</v>
      </c>
      <c r="R51">
        <v>-3631</v>
      </c>
      <c r="S51">
        <v>16549</v>
      </c>
      <c r="T51">
        <v>12918</v>
      </c>
    </row>
    <row r="52" spans="1:20" x14ac:dyDescent="0.35">
      <c r="A52" t="s">
        <v>59</v>
      </c>
      <c r="B52" s="1">
        <v>42369</v>
      </c>
      <c r="C52">
        <v>16348</v>
      </c>
      <c r="D52">
        <v>-409</v>
      </c>
      <c r="E52">
        <v>26024</v>
      </c>
      <c r="F52">
        <v>-9915</v>
      </c>
      <c r="H52">
        <v>-236</v>
      </c>
      <c r="I52">
        <v>62905</v>
      </c>
      <c r="J52">
        <v>-13796</v>
      </c>
      <c r="K52">
        <v>-23711</v>
      </c>
      <c r="M52">
        <v>-23</v>
      </c>
      <c r="N52">
        <v>-1780</v>
      </c>
      <c r="P52">
        <v>-3677</v>
      </c>
      <c r="Q52">
        <v>-434</v>
      </c>
      <c r="R52">
        <v>-1798</v>
      </c>
      <c r="S52">
        <v>18347</v>
      </c>
      <c r="T52">
        <v>16549</v>
      </c>
    </row>
    <row r="53" spans="1:20" x14ac:dyDescent="0.35">
      <c r="A53" t="s">
        <v>59</v>
      </c>
      <c r="B53" s="1">
        <v>42004</v>
      </c>
      <c r="C53">
        <v>14444</v>
      </c>
      <c r="D53">
        <v>364</v>
      </c>
      <c r="E53">
        <v>22376</v>
      </c>
      <c r="F53">
        <v>-10959</v>
      </c>
      <c r="H53">
        <v>-4888</v>
      </c>
      <c r="I53">
        <v>51315</v>
      </c>
      <c r="J53">
        <v>-10096</v>
      </c>
      <c r="K53">
        <v>-21055</v>
      </c>
      <c r="M53">
        <v>-18</v>
      </c>
      <c r="P53">
        <v>-1439</v>
      </c>
      <c r="Q53">
        <v>-433</v>
      </c>
      <c r="R53">
        <v>-551</v>
      </c>
      <c r="S53">
        <v>18898</v>
      </c>
      <c r="T53">
        <v>18347</v>
      </c>
    </row>
    <row r="54" spans="1:20" x14ac:dyDescent="0.35">
      <c r="A54" t="s">
        <v>59</v>
      </c>
      <c r="B54" s="1">
        <v>41639</v>
      </c>
      <c r="C54">
        <v>12920</v>
      </c>
      <c r="D54">
        <v>-31</v>
      </c>
      <c r="E54">
        <v>18659</v>
      </c>
      <c r="F54">
        <v>-7358</v>
      </c>
      <c r="H54">
        <v>-1448</v>
      </c>
      <c r="I54">
        <v>38314</v>
      </c>
      <c r="J54">
        <v>-6321</v>
      </c>
      <c r="K54">
        <v>-13679</v>
      </c>
      <c r="M54">
        <v>-557</v>
      </c>
      <c r="P54">
        <v>-857</v>
      </c>
      <c r="Q54">
        <v>-3</v>
      </c>
      <c r="R54">
        <v>4120</v>
      </c>
      <c r="S54">
        <v>14778</v>
      </c>
      <c r="T54">
        <v>18898</v>
      </c>
    </row>
    <row r="55" spans="1:20" x14ac:dyDescent="0.35">
      <c r="A55" t="s">
        <v>59</v>
      </c>
      <c r="B55" s="1">
        <v>41274</v>
      </c>
      <c r="C55">
        <v>10737</v>
      </c>
      <c r="D55">
        <v>898</v>
      </c>
      <c r="E55">
        <v>16619</v>
      </c>
      <c r="F55">
        <v>-3273</v>
      </c>
      <c r="H55">
        <v>-10568</v>
      </c>
      <c r="I55">
        <v>35180</v>
      </c>
      <c r="J55">
        <v>-9783</v>
      </c>
      <c r="K55">
        <v>-13056</v>
      </c>
      <c r="M55">
        <v>1328</v>
      </c>
      <c r="N55">
        <v>0</v>
      </c>
      <c r="P55">
        <v>1229</v>
      </c>
      <c r="Q55">
        <v>3</v>
      </c>
      <c r="R55">
        <v>4795</v>
      </c>
      <c r="S55">
        <v>9983</v>
      </c>
      <c r="T55">
        <v>14778</v>
      </c>
    </row>
    <row r="56" spans="1:20" x14ac:dyDescent="0.35">
      <c r="A56" t="s">
        <v>59</v>
      </c>
      <c r="B56" s="1">
        <v>40908</v>
      </c>
      <c r="C56">
        <v>9737</v>
      </c>
      <c r="D56">
        <v>630</v>
      </c>
      <c r="E56">
        <v>14565</v>
      </c>
      <c r="F56">
        <v>-3438</v>
      </c>
      <c r="H56">
        <v>-1900</v>
      </c>
      <c r="I56">
        <v>48746</v>
      </c>
      <c r="J56">
        <v>-15603</v>
      </c>
      <c r="K56">
        <v>-19041</v>
      </c>
      <c r="M56">
        <v>726</v>
      </c>
      <c r="N56">
        <v>0</v>
      </c>
      <c r="P56">
        <v>807</v>
      </c>
      <c r="Q56">
        <v>22</v>
      </c>
      <c r="R56">
        <v>-3647</v>
      </c>
      <c r="S56">
        <v>13630</v>
      </c>
      <c r="T56">
        <v>9983</v>
      </c>
    </row>
    <row r="57" spans="1:20" x14ac:dyDescent="0.35">
      <c r="A57" t="s">
        <v>59</v>
      </c>
      <c r="B57" s="1">
        <v>40543</v>
      </c>
      <c r="C57">
        <v>8505</v>
      </c>
      <c r="D57">
        <v>-99</v>
      </c>
      <c r="E57">
        <v>11081</v>
      </c>
      <c r="F57">
        <v>-4018</v>
      </c>
      <c r="H57">
        <v>-1067</v>
      </c>
      <c r="I57">
        <v>37099</v>
      </c>
      <c r="J57">
        <v>-6662</v>
      </c>
      <c r="K57">
        <v>-10680</v>
      </c>
      <c r="M57">
        <v>3463</v>
      </c>
      <c r="N57">
        <v>-801</v>
      </c>
      <c r="P57">
        <v>3050</v>
      </c>
      <c r="Q57">
        <v>-19</v>
      </c>
      <c r="R57">
        <v>3432</v>
      </c>
      <c r="S57">
        <v>10198</v>
      </c>
      <c r="T57">
        <v>13630</v>
      </c>
    </row>
    <row r="58" spans="1:20" x14ac:dyDescent="0.35">
      <c r="A58" t="s">
        <v>59</v>
      </c>
      <c r="B58" s="1">
        <v>40178</v>
      </c>
      <c r="C58">
        <v>6520.4480000000003</v>
      </c>
      <c r="D58">
        <v>485.98700000000002</v>
      </c>
      <c r="E58">
        <v>9316.1980000000003</v>
      </c>
      <c r="F58">
        <v>-809.88800000000003</v>
      </c>
      <c r="H58">
        <v>-108.024</v>
      </c>
      <c r="I58">
        <v>22102.866999999998</v>
      </c>
      <c r="J58">
        <v>-7209.317</v>
      </c>
      <c r="K58">
        <v>-8019.2049999999999</v>
      </c>
      <c r="M58">
        <v>0</v>
      </c>
      <c r="N58">
        <v>0</v>
      </c>
      <c r="P58">
        <v>233.41200000000001</v>
      </c>
      <c r="Q58">
        <v>10.510999999999999</v>
      </c>
      <c r="R58">
        <v>1540.9159999999999</v>
      </c>
      <c r="S58">
        <v>8656.6720000000005</v>
      </c>
      <c r="T58">
        <v>10197.588</v>
      </c>
    </row>
    <row r="59" spans="1:20" x14ac:dyDescent="0.35">
      <c r="A59" t="s">
        <v>59</v>
      </c>
      <c r="B59" s="1">
        <v>39813</v>
      </c>
      <c r="C59">
        <v>4226.8580000000002</v>
      </c>
      <c r="D59">
        <v>327.23200000000003</v>
      </c>
      <c r="E59">
        <v>7852.857</v>
      </c>
      <c r="F59">
        <v>-2358.4609999999998</v>
      </c>
      <c r="H59">
        <v>-3320.299</v>
      </c>
      <c r="I59">
        <v>15762.796</v>
      </c>
      <c r="J59">
        <v>-2960.9609999999998</v>
      </c>
      <c r="K59">
        <v>-5319.4219999999996</v>
      </c>
      <c r="M59">
        <v>0</v>
      </c>
      <c r="N59">
        <v>0</v>
      </c>
      <c r="P59">
        <v>87.566999999999993</v>
      </c>
      <c r="Q59">
        <v>-45.923000000000002</v>
      </c>
      <c r="R59">
        <v>2575.0790000000002</v>
      </c>
      <c r="S59">
        <v>6081.5929999999998</v>
      </c>
      <c r="T59">
        <v>8656.6720000000005</v>
      </c>
    </row>
    <row r="60" spans="1:20" x14ac:dyDescent="0.35">
      <c r="A60" t="s">
        <v>59</v>
      </c>
      <c r="B60" s="1">
        <v>39447</v>
      </c>
      <c r="C60">
        <v>4203.72</v>
      </c>
      <c r="D60">
        <v>318.54500000000002</v>
      </c>
      <c r="E60">
        <v>5775.41</v>
      </c>
      <c r="F60">
        <v>-2402.84</v>
      </c>
      <c r="H60">
        <v>-906.65099999999995</v>
      </c>
      <c r="I60">
        <v>15659.473</v>
      </c>
      <c r="J60">
        <v>-1278.749</v>
      </c>
      <c r="K60">
        <v>-3681.5889999999999</v>
      </c>
      <c r="M60">
        <v>0</v>
      </c>
      <c r="N60">
        <v>0</v>
      </c>
      <c r="P60">
        <v>403.06700000000001</v>
      </c>
      <c r="Q60">
        <v>40.033999999999999</v>
      </c>
      <c r="R60">
        <v>2536.922</v>
      </c>
      <c r="S60">
        <v>3544.6709999999998</v>
      </c>
      <c r="T60">
        <v>6081.5929999999998</v>
      </c>
    </row>
    <row r="61" spans="1:20" x14ac:dyDescent="0.35">
      <c r="A61" t="s">
        <v>59</v>
      </c>
      <c r="B61" s="1">
        <v>39082</v>
      </c>
      <c r="C61">
        <v>3077.4459999999999</v>
      </c>
      <c r="D61">
        <v>42.280999999999999</v>
      </c>
      <c r="E61">
        <v>3580.5079999999998</v>
      </c>
      <c r="F61">
        <v>-1902.798</v>
      </c>
      <c r="H61">
        <v>-402.44600000000003</v>
      </c>
      <c r="I61">
        <v>23107.132000000001</v>
      </c>
      <c r="J61">
        <v>-4996.3519999999999</v>
      </c>
      <c r="K61">
        <v>-6899.15</v>
      </c>
      <c r="M61">
        <v>0</v>
      </c>
      <c r="N61">
        <v>2063.549</v>
      </c>
      <c r="P61">
        <v>2966.3980000000001</v>
      </c>
      <c r="Q61">
        <v>19.741</v>
      </c>
      <c r="R61">
        <v>-332.50299999999999</v>
      </c>
      <c r="S61">
        <v>3877.174</v>
      </c>
      <c r="T61">
        <v>3544.6709999999998</v>
      </c>
    </row>
    <row r="62" spans="1:20" x14ac:dyDescent="0.35">
      <c r="A62" t="s">
        <v>60</v>
      </c>
      <c r="B62" s="1">
        <v>46022</v>
      </c>
      <c r="C62">
        <v>60458</v>
      </c>
      <c r="D62">
        <v>-885</v>
      </c>
      <c r="E62">
        <v>115800</v>
      </c>
      <c r="F62">
        <v>-69691</v>
      </c>
      <c r="H62">
        <v>-4231</v>
      </c>
      <c r="I62">
        <v>26874</v>
      </c>
      <c r="J62">
        <v>-32312</v>
      </c>
      <c r="K62">
        <v>-102003</v>
      </c>
      <c r="M62">
        <v>27382</v>
      </c>
      <c r="N62">
        <v>-26248</v>
      </c>
      <c r="O62">
        <v>-5324</v>
      </c>
      <c r="P62">
        <v>-20370</v>
      </c>
      <c r="Q62">
        <v>235</v>
      </c>
      <c r="R62">
        <v>-6338</v>
      </c>
      <c r="S62">
        <v>45438</v>
      </c>
      <c r="T62">
        <v>39100</v>
      </c>
    </row>
    <row r="63" spans="1:20" x14ac:dyDescent="0.35">
      <c r="A63" t="s">
        <v>60</v>
      </c>
      <c r="B63" s="1">
        <v>45657</v>
      </c>
      <c r="C63">
        <v>62360</v>
      </c>
      <c r="D63">
        <v>1048</v>
      </c>
      <c r="E63">
        <v>91328</v>
      </c>
      <c r="F63">
        <v>-37256</v>
      </c>
      <c r="H63">
        <v>-270</v>
      </c>
      <c r="I63">
        <v>15789</v>
      </c>
      <c r="J63">
        <v>-9894</v>
      </c>
      <c r="K63">
        <v>-47150</v>
      </c>
      <c r="M63">
        <v>8463</v>
      </c>
      <c r="N63">
        <v>-30125</v>
      </c>
      <c r="O63">
        <v>-5072</v>
      </c>
      <c r="P63">
        <v>-40781</v>
      </c>
      <c r="Q63">
        <v>-786</v>
      </c>
      <c r="R63">
        <v>2611</v>
      </c>
      <c r="S63">
        <v>42827</v>
      </c>
      <c r="T63">
        <v>45438</v>
      </c>
    </row>
    <row r="64" spans="1:20" x14ac:dyDescent="0.35">
      <c r="A64" t="s">
        <v>60</v>
      </c>
      <c r="B64" s="1">
        <v>45291</v>
      </c>
      <c r="C64">
        <v>39098</v>
      </c>
      <c r="D64">
        <v>3836</v>
      </c>
      <c r="E64">
        <v>71113</v>
      </c>
      <c r="F64">
        <v>-27266</v>
      </c>
      <c r="G64">
        <v>221</v>
      </c>
      <c r="H64">
        <v>-629</v>
      </c>
      <c r="I64">
        <v>6184</v>
      </c>
      <c r="J64">
        <v>2771</v>
      </c>
      <c r="K64">
        <v>-24495</v>
      </c>
      <c r="M64">
        <v>7397</v>
      </c>
      <c r="N64">
        <v>-19774</v>
      </c>
      <c r="P64">
        <v>-19500</v>
      </c>
      <c r="Q64">
        <v>113</v>
      </c>
      <c r="R64">
        <v>27231</v>
      </c>
      <c r="S64">
        <v>15596</v>
      </c>
      <c r="T64">
        <v>42827</v>
      </c>
    </row>
    <row r="65" spans="1:20" x14ac:dyDescent="0.35">
      <c r="A65" t="s">
        <v>60</v>
      </c>
      <c r="B65" s="1">
        <v>44926</v>
      </c>
      <c r="C65">
        <v>23200</v>
      </c>
      <c r="D65">
        <v>5683</v>
      </c>
      <c r="E65">
        <v>50475</v>
      </c>
      <c r="F65">
        <v>-31431</v>
      </c>
      <c r="G65">
        <v>245</v>
      </c>
      <c r="H65">
        <v>-1312</v>
      </c>
      <c r="I65">
        <v>13158</v>
      </c>
      <c r="J65">
        <v>2461</v>
      </c>
      <c r="K65">
        <v>-28970</v>
      </c>
      <c r="M65">
        <v>9071</v>
      </c>
      <c r="N65">
        <v>-27956</v>
      </c>
      <c r="P65">
        <v>-22136</v>
      </c>
      <c r="Q65">
        <v>-638</v>
      </c>
      <c r="R65">
        <v>-1269</v>
      </c>
      <c r="S65">
        <v>16865</v>
      </c>
      <c r="T65">
        <v>15596</v>
      </c>
    </row>
    <row r="66" spans="1:20" x14ac:dyDescent="0.35">
      <c r="A66" t="s">
        <v>60</v>
      </c>
      <c r="B66" s="1">
        <v>44561</v>
      </c>
      <c r="C66">
        <v>39370</v>
      </c>
      <c r="D66">
        <v>700</v>
      </c>
      <c r="E66">
        <v>57683</v>
      </c>
      <c r="F66">
        <v>-18567</v>
      </c>
      <c r="H66">
        <v>-851</v>
      </c>
      <c r="I66">
        <v>42586</v>
      </c>
      <c r="J66">
        <v>10997</v>
      </c>
      <c r="K66">
        <v>-7570</v>
      </c>
      <c r="M66">
        <v>-677</v>
      </c>
      <c r="N66">
        <v>-44537</v>
      </c>
      <c r="P66">
        <v>-50728</v>
      </c>
      <c r="Q66">
        <v>-474</v>
      </c>
      <c r="R66">
        <v>-1089</v>
      </c>
      <c r="S66">
        <v>17954</v>
      </c>
      <c r="T66">
        <v>16865</v>
      </c>
    </row>
    <row r="67" spans="1:20" x14ac:dyDescent="0.35">
      <c r="A67" t="s">
        <v>60</v>
      </c>
      <c r="B67" s="1">
        <v>44196</v>
      </c>
      <c r="C67">
        <v>29146</v>
      </c>
      <c r="D67">
        <v>-2723</v>
      </c>
      <c r="E67">
        <v>38747</v>
      </c>
      <c r="F67">
        <v>-15115</v>
      </c>
      <c r="H67">
        <v>-388</v>
      </c>
      <c r="I67">
        <v>25771</v>
      </c>
      <c r="J67">
        <v>-14944</v>
      </c>
      <c r="K67">
        <v>-30059</v>
      </c>
      <c r="M67">
        <v>-604</v>
      </c>
      <c r="N67">
        <v>-6272</v>
      </c>
      <c r="P67">
        <v>-10292</v>
      </c>
      <c r="Q67">
        <v>279</v>
      </c>
      <c r="R67">
        <v>-1325</v>
      </c>
      <c r="S67">
        <v>19279</v>
      </c>
      <c r="T67">
        <v>17954</v>
      </c>
    </row>
    <row r="68" spans="1:20" x14ac:dyDescent="0.35">
      <c r="A68" t="s">
        <v>60</v>
      </c>
      <c r="B68" s="1">
        <v>43830</v>
      </c>
      <c r="C68">
        <v>18485</v>
      </c>
      <c r="D68">
        <v>7250</v>
      </c>
      <c r="E68">
        <v>36314</v>
      </c>
      <c r="F68">
        <v>-15102</v>
      </c>
      <c r="H68">
        <v>-508</v>
      </c>
      <c r="I68">
        <v>19717</v>
      </c>
      <c r="J68">
        <v>-4762</v>
      </c>
      <c r="K68">
        <v>-19864</v>
      </c>
      <c r="M68">
        <v>-552</v>
      </c>
      <c r="N68">
        <v>-4202</v>
      </c>
      <c r="P68">
        <v>-7299</v>
      </c>
      <c r="Q68">
        <v>4</v>
      </c>
      <c r="R68">
        <v>9155</v>
      </c>
      <c r="S68">
        <v>10124</v>
      </c>
      <c r="T68">
        <v>19279</v>
      </c>
    </row>
    <row r="69" spans="1:20" x14ac:dyDescent="0.35">
      <c r="A69" t="s">
        <v>60</v>
      </c>
      <c r="B69" s="1">
        <v>43465</v>
      </c>
      <c r="C69">
        <v>22112</v>
      </c>
      <c r="D69">
        <v>-1527</v>
      </c>
      <c r="E69">
        <v>29274</v>
      </c>
      <c r="F69">
        <v>-13915</v>
      </c>
      <c r="H69">
        <v>-137</v>
      </c>
      <c r="I69">
        <v>17130</v>
      </c>
      <c r="J69">
        <v>2312</v>
      </c>
      <c r="K69">
        <v>-11603</v>
      </c>
      <c r="M69">
        <v>0</v>
      </c>
      <c r="N69">
        <v>-12879</v>
      </c>
      <c r="P69">
        <v>-15572</v>
      </c>
      <c r="Q69">
        <v>-179</v>
      </c>
      <c r="R69">
        <v>1920</v>
      </c>
      <c r="S69">
        <v>8204</v>
      </c>
      <c r="T69">
        <v>10124</v>
      </c>
    </row>
    <row r="70" spans="1:20" x14ac:dyDescent="0.35">
      <c r="A70" t="s">
        <v>60</v>
      </c>
      <c r="B70" s="1">
        <v>43100</v>
      </c>
      <c r="C70">
        <v>15934</v>
      </c>
      <c r="D70">
        <v>1887</v>
      </c>
      <c r="E70">
        <v>24216</v>
      </c>
      <c r="F70">
        <v>-6733</v>
      </c>
      <c r="H70">
        <v>-122</v>
      </c>
      <c r="I70">
        <v>12432</v>
      </c>
      <c r="J70">
        <v>-13385</v>
      </c>
      <c r="K70">
        <v>-20118</v>
      </c>
      <c r="M70">
        <v>0</v>
      </c>
      <c r="N70">
        <v>-1976</v>
      </c>
      <c r="P70">
        <v>-5235</v>
      </c>
      <c r="Q70">
        <v>232</v>
      </c>
      <c r="R70">
        <v>-905</v>
      </c>
      <c r="S70">
        <v>9109</v>
      </c>
      <c r="T70">
        <v>8204</v>
      </c>
    </row>
    <row r="71" spans="1:20" x14ac:dyDescent="0.35">
      <c r="A71" t="s">
        <v>60</v>
      </c>
      <c r="B71" s="1">
        <v>42735</v>
      </c>
      <c r="C71">
        <v>10217</v>
      </c>
      <c r="D71">
        <v>758</v>
      </c>
      <c r="E71">
        <v>16108</v>
      </c>
      <c r="F71">
        <v>-4491</v>
      </c>
      <c r="H71">
        <v>-123</v>
      </c>
      <c r="I71">
        <v>15155</v>
      </c>
      <c r="J71">
        <v>-7301</v>
      </c>
      <c r="K71">
        <v>-11792</v>
      </c>
      <c r="M71">
        <v>-312</v>
      </c>
      <c r="N71">
        <v>0</v>
      </c>
      <c r="P71">
        <v>-310</v>
      </c>
      <c r="Q71">
        <v>-63</v>
      </c>
      <c r="R71">
        <v>3943</v>
      </c>
      <c r="S71">
        <v>5166</v>
      </c>
      <c r="T71">
        <v>9109</v>
      </c>
    </row>
    <row r="72" spans="1:20" x14ac:dyDescent="0.35">
      <c r="A72" t="s">
        <v>60</v>
      </c>
      <c r="B72" s="1">
        <v>42369</v>
      </c>
      <c r="C72">
        <v>3688</v>
      </c>
      <c r="D72">
        <v>784</v>
      </c>
      <c r="E72">
        <v>8599</v>
      </c>
      <c r="F72">
        <v>-2523</v>
      </c>
      <c r="H72">
        <v>-313</v>
      </c>
      <c r="I72">
        <v>9238</v>
      </c>
      <c r="J72">
        <v>-6911</v>
      </c>
      <c r="K72">
        <v>-9434</v>
      </c>
      <c r="M72">
        <v>-119</v>
      </c>
      <c r="N72">
        <v>0</v>
      </c>
      <c r="P72">
        <v>1582</v>
      </c>
      <c r="Q72">
        <v>-155</v>
      </c>
      <c r="R72">
        <v>592</v>
      </c>
      <c r="S72">
        <v>4315</v>
      </c>
      <c r="T72">
        <v>4907</v>
      </c>
    </row>
    <row r="73" spans="1:20" x14ac:dyDescent="0.35">
      <c r="A73" t="s">
        <v>60</v>
      </c>
      <c r="B73" s="1">
        <v>42004</v>
      </c>
      <c r="C73">
        <v>2940</v>
      </c>
      <c r="D73">
        <v>-262</v>
      </c>
      <c r="E73">
        <v>5457</v>
      </c>
      <c r="F73">
        <v>-1831</v>
      </c>
      <c r="H73">
        <v>-4975</v>
      </c>
      <c r="I73">
        <v>10347</v>
      </c>
      <c r="J73">
        <v>-4082</v>
      </c>
      <c r="K73">
        <v>-5913</v>
      </c>
      <c r="M73">
        <v>-243</v>
      </c>
      <c r="N73">
        <v>18</v>
      </c>
      <c r="P73">
        <v>1571</v>
      </c>
      <c r="Q73">
        <v>-123</v>
      </c>
      <c r="R73">
        <v>992</v>
      </c>
      <c r="S73">
        <v>3323</v>
      </c>
      <c r="T73">
        <v>4315</v>
      </c>
    </row>
    <row r="74" spans="1:20" x14ac:dyDescent="0.35">
      <c r="A74" t="s">
        <v>60</v>
      </c>
      <c r="B74" s="1">
        <v>41639</v>
      </c>
      <c r="C74">
        <v>1500</v>
      </c>
      <c r="D74">
        <v>676</v>
      </c>
      <c r="E74">
        <v>4222</v>
      </c>
      <c r="F74">
        <v>-1362</v>
      </c>
      <c r="H74">
        <v>-368</v>
      </c>
      <c r="I74">
        <v>6551</v>
      </c>
      <c r="J74">
        <v>-1262</v>
      </c>
      <c r="K74">
        <v>-2624</v>
      </c>
      <c r="M74">
        <v>-1891</v>
      </c>
      <c r="N74">
        <v>1504</v>
      </c>
      <c r="P74">
        <v>-667</v>
      </c>
      <c r="Q74">
        <v>8</v>
      </c>
      <c r="R74">
        <v>939</v>
      </c>
      <c r="S74">
        <v>2384</v>
      </c>
      <c r="T74">
        <v>3323</v>
      </c>
    </row>
    <row r="75" spans="1:20" x14ac:dyDescent="0.35">
      <c r="A75" t="s">
        <v>60</v>
      </c>
      <c r="B75" s="1">
        <v>41274</v>
      </c>
      <c r="C75">
        <v>53</v>
      </c>
      <c r="D75">
        <v>-491</v>
      </c>
      <c r="E75">
        <v>1612</v>
      </c>
      <c r="F75">
        <v>-1235</v>
      </c>
      <c r="H75">
        <v>-911</v>
      </c>
      <c r="I75">
        <v>5433</v>
      </c>
      <c r="J75">
        <v>-5789</v>
      </c>
      <c r="K75">
        <v>-7024</v>
      </c>
      <c r="M75">
        <v>1130</v>
      </c>
      <c r="N75">
        <v>6777</v>
      </c>
      <c r="P75">
        <v>6283</v>
      </c>
      <c r="Q75">
        <v>1</v>
      </c>
      <c r="R75">
        <v>872</v>
      </c>
      <c r="S75">
        <v>1512</v>
      </c>
      <c r="T75">
        <v>2384</v>
      </c>
    </row>
    <row r="76" spans="1:20" x14ac:dyDescent="0.35">
      <c r="A76" t="s">
        <v>60</v>
      </c>
      <c r="B76" s="1">
        <v>40908</v>
      </c>
      <c r="C76">
        <v>1000</v>
      </c>
      <c r="D76">
        <v>5</v>
      </c>
      <c r="E76">
        <v>1549</v>
      </c>
      <c r="F76">
        <v>-606</v>
      </c>
      <c r="H76">
        <v>-24</v>
      </c>
      <c r="I76">
        <v>629</v>
      </c>
      <c r="J76">
        <v>-2417</v>
      </c>
      <c r="K76">
        <v>-3023</v>
      </c>
      <c r="M76">
        <v>-431</v>
      </c>
      <c r="N76">
        <v>1026</v>
      </c>
      <c r="P76">
        <v>1198</v>
      </c>
      <c r="Q76">
        <v>3</v>
      </c>
      <c r="R76">
        <v>-273</v>
      </c>
      <c r="S76">
        <v>1785</v>
      </c>
      <c r="T76">
        <v>1512</v>
      </c>
    </row>
    <row r="77" spans="1:20" x14ac:dyDescent="0.35">
      <c r="A77" t="s">
        <v>60</v>
      </c>
      <c r="B77" s="1">
        <v>40543</v>
      </c>
      <c r="C77">
        <v>606</v>
      </c>
      <c r="D77">
        <v>-70</v>
      </c>
      <c r="E77">
        <v>698</v>
      </c>
      <c r="F77">
        <v>-293</v>
      </c>
      <c r="H77">
        <v>-22</v>
      </c>
      <c r="I77">
        <v>0</v>
      </c>
      <c r="J77">
        <v>-31</v>
      </c>
      <c r="K77">
        <v>-324</v>
      </c>
      <c r="M77">
        <v>160</v>
      </c>
      <c r="N77">
        <v>506</v>
      </c>
      <c r="P77">
        <v>781</v>
      </c>
      <c r="Q77">
        <v>-3</v>
      </c>
      <c r="R77">
        <v>1152</v>
      </c>
      <c r="S77">
        <v>633</v>
      </c>
      <c r="T77">
        <v>1785</v>
      </c>
    </row>
    <row r="78" spans="1:20" x14ac:dyDescent="0.35">
      <c r="A78" t="s">
        <v>60</v>
      </c>
      <c r="B78" s="1">
        <v>40178</v>
      </c>
      <c r="C78">
        <v>229</v>
      </c>
      <c r="D78">
        <v>-179</v>
      </c>
      <c r="E78">
        <v>155</v>
      </c>
      <c r="F78">
        <v>-33</v>
      </c>
      <c r="I78">
        <v>0</v>
      </c>
      <c r="J78">
        <v>-29</v>
      </c>
      <c r="K78">
        <v>-62</v>
      </c>
      <c r="M78">
        <v>-48</v>
      </c>
      <c r="N78">
        <v>9</v>
      </c>
      <c r="P78">
        <v>243</v>
      </c>
      <c r="Q78">
        <v>0</v>
      </c>
      <c r="R78">
        <v>336</v>
      </c>
      <c r="S78">
        <v>297</v>
      </c>
      <c r="T78">
        <v>633</v>
      </c>
    </row>
    <row r="79" spans="1:20" x14ac:dyDescent="0.35">
      <c r="A79" t="s">
        <v>60</v>
      </c>
      <c r="B79" s="1">
        <v>39813</v>
      </c>
      <c r="E79">
        <v>8</v>
      </c>
      <c r="F79">
        <v>-70</v>
      </c>
    </row>
    <row r="80" spans="1:20" x14ac:dyDescent="0.35">
      <c r="A80" t="s">
        <v>60</v>
      </c>
      <c r="B80" s="1">
        <v>39447</v>
      </c>
      <c r="E80">
        <v>11</v>
      </c>
      <c r="F80">
        <v>-55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09F7-F6B3-42C0-A7EC-84CFA4F46E84}">
  <dimension ref="A1:AQ80"/>
  <sheetViews>
    <sheetView tabSelected="1" zoomScaleNormal="100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X16" sqref="X16"/>
    </sheetView>
  </sheetViews>
  <sheetFormatPr defaultRowHeight="14.5" x14ac:dyDescent="0.35"/>
  <cols>
    <col min="1" max="1" width="5.7265625" bestFit="1" customWidth="1"/>
    <col min="2" max="2" width="12.6328125" bestFit="1" customWidth="1"/>
    <col min="3" max="3" width="11.36328125" bestFit="1" customWidth="1"/>
    <col min="4" max="4" width="14.7265625" bestFit="1" customWidth="1"/>
    <col min="5" max="5" width="16.26953125" customWidth="1"/>
    <col min="6" max="6" width="15.26953125" bestFit="1" customWidth="1"/>
    <col min="7" max="7" width="14.36328125" bestFit="1" customWidth="1"/>
    <col min="8" max="9" width="16.7265625" bestFit="1" customWidth="1"/>
    <col min="10" max="10" width="16.26953125" bestFit="1" customWidth="1"/>
    <col min="11" max="11" width="10.6328125" bestFit="1" customWidth="1"/>
    <col min="12" max="12" width="15.1796875" bestFit="1" customWidth="1"/>
    <col min="13" max="13" width="11.36328125" bestFit="1" customWidth="1"/>
    <col min="14" max="14" width="15.08984375" bestFit="1" customWidth="1"/>
    <col min="15" max="16" width="15.1796875" customWidth="1"/>
    <col min="17" max="17" width="10.6328125" bestFit="1" customWidth="1"/>
    <col min="18" max="18" width="16.6328125" bestFit="1" customWidth="1"/>
    <col min="19" max="19" width="13.90625" bestFit="1" customWidth="1"/>
    <col min="20" max="20" width="16.26953125" customWidth="1"/>
    <col min="21" max="21" width="14.453125" bestFit="1" customWidth="1"/>
    <col min="22" max="22" width="14.7265625" bestFit="1" customWidth="1"/>
    <col min="23" max="23" width="15.1796875" bestFit="1" customWidth="1"/>
    <col min="24" max="24" width="14.7265625" bestFit="1" customWidth="1"/>
    <col min="25" max="26" width="15.08984375" bestFit="1" customWidth="1"/>
    <col min="27" max="27" width="16.26953125" bestFit="1" customWidth="1"/>
    <col min="28" max="28" width="8.1796875" bestFit="1" customWidth="1"/>
    <col min="29" max="29" width="8.54296875" bestFit="1" customWidth="1"/>
    <col min="30" max="30" width="10.08984375" bestFit="1" customWidth="1"/>
    <col min="31" max="32" width="11.54296875" bestFit="1" customWidth="1"/>
    <col min="33" max="33" width="19.90625" bestFit="1" customWidth="1"/>
    <col min="34" max="34" width="17.7265625" bestFit="1" customWidth="1"/>
    <col min="35" max="35" width="12.26953125" bestFit="1" customWidth="1"/>
    <col min="36" max="36" width="15.1796875" bestFit="1" customWidth="1"/>
    <col min="37" max="37" width="20.54296875" bestFit="1" customWidth="1"/>
    <col min="38" max="41" width="20.54296875" customWidth="1"/>
    <col min="42" max="42" width="18.26953125" bestFit="1" customWidth="1"/>
    <col min="43" max="43" width="18" bestFit="1" customWidth="1"/>
  </cols>
  <sheetData>
    <row r="1" spans="1:43" x14ac:dyDescent="0.35">
      <c r="A1" t="s">
        <v>16</v>
      </c>
      <c r="B1" t="s">
        <v>86</v>
      </c>
      <c r="C1" t="s">
        <v>94</v>
      </c>
      <c r="D1" t="s">
        <v>95</v>
      </c>
      <c r="E1" t="s">
        <v>110</v>
      </c>
      <c r="F1" t="s">
        <v>111</v>
      </c>
      <c r="G1" t="s">
        <v>96</v>
      </c>
      <c r="H1" t="s">
        <v>5</v>
      </c>
      <c r="I1" t="s">
        <v>102</v>
      </c>
      <c r="J1" t="s">
        <v>97</v>
      </c>
      <c r="K1" t="s">
        <v>24</v>
      </c>
      <c r="L1" t="s">
        <v>98</v>
      </c>
      <c r="M1" t="s">
        <v>100</v>
      </c>
      <c r="N1" t="s">
        <v>207</v>
      </c>
      <c r="O1" t="s">
        <v>208</v>
      </c>
      <c r="P1" t="s">
        <v>209</v>
      </c>
      <c r="Q1" t="s">
        <v>99</v>
      </c>
      <c r="R1" t="s">
        <v>210</v>
      </c>
      <c r="S1" t="s">
        <v>65</v>
      </c>
      <c r="T1" s="39" t="s">
        <v>101</v>
      </c>
      <c r="U1" t="s">
        <v>136</v>
      </c>
      <c r="V1" t="s">
        <v>90</v>
      </c>
      <c r="W1" t="s">
        <v>92</v>
      </c>
      <c r="X1" t="s">
        <v>91</v>
      </c>
      <c r="Y1" t="s">
        <v>103</v>
      </c>
      <c r="Z1" t="s">
        <v>104</v>
      </c>
      <c r="AA1" t="s">
        <v>93</v>
      </c>
      <c r="AB1" t="s">
        <v>112</v>
      </c>
      <c r="AC1" t="s">
        <v>135</v>
      </c>
      <c r="AD1" t="s">
        <v>113</v>
      </c>
      <c r="AE1" t="s">
        <v>88</v>
      </c>
      <c r="AF1" t="s">
        <v>87</v>
      </c>
      <c r="AG1" t="s">
        <v>105</v>
      </c>
      <c r="AH1" t="s">
        <v>107</v>
      </c>
      <c r="AI1" t="s">
        <v>108</v>
      </c>
      <c r="AJ1" t="s">
        <v>109</v>
      </c>
      <c r="AK1" t="s">
        <v>89</v>
      </c>
      <c r="AL1" t="s">
        <v>114</v>
      </c>
      <c r="AM1" t="s">
        <v>131</v>
      </c>
      <c r="AN1" t="s">
        <v>132</v>
      </c>
      <c r="AO1" t="s">
        <v>133</v>
      </c>
      <c r="AP1" t="s">
        <v>134</v>
      </c>
      <c r="AQ1" t="s">
        <v>106</v>
      </c>
    </row>
    <row r="2" spans="1:43" x14ac:dyDescent="0.35">
      <c r="A2" t="s">
        <v>17</v>
      </c>
      <c r="B2" s="1">
        <v>46022</v>
      </c>
      <c r="C2" s="40">
        <f>'Income Statement'!C2</f>
        <v>716924</v>
      </c>
      <c r="D2" s="40">
        <f>'Income Statement'!E2</f>
        <v>360510</v>
      </c>
      <c r="E2" s="40">
        <f>F2+S2</f>
        <v>145731</v>
      </c>
      <c r="F2" s="40">
        <f>'Income Statement'!L2</f>
        <v>79975</v>
      </c>
      <c r="G2" s="40">
        <f>'Income Statement'!P2</f>
        <v>97311</v>
      </c>
      <c r="H2" s="40">
        <f>'Income Statement'!R2</f>
        <v>77670</v>
      </c>
      <c r="I2" s="40">
        <f>'Balance Sheet'!D2</f>
        <v>123029</v>
      </c>
      <c r="J2" s="40">
        <f>'Balance Sheet'!I2</f>
        <v>229083</v>
      </c>
      <c r="K2" s="40">
        <f>'Balance Sheet'!R2</f>
        <v>818042</v>
      </c>
      <c r="L2" s="40">
        <f>'Balance Sheet'!X2</f>
        <v>218005</v>
      </c>
      <c r="M2" s="40">
        <f>'Balance Sheet'!AL2</f>
        <v>411065</v>
      </c>
      <c r="N2" s="41">
        <v>2274</v>
      </c>
      <c r="O2" s="40">
        <v>89252</v>
      </c>
      <c r="P2" s="40">
        <v>12286</v>
      </c>
      <c r="Q2" s="40">
        <v>68851</v>
      </c>
      <c r="R2" s="40">
        <f>SUM(O2:Q2)</f>
        <v>170389</v>
      </c>
      <c r="S2" s="41">
        <v>65756</v>
      </c>
      <c r="T2" s="42">
        <f>-'Cash Flow'!F2</f>
        <v>131819</v>
      </c>
      <c r="U2" s="5">
        <f t="shared" ref="U2:U20" si="0">(C2-C3)/C3</f>
        <v>0.12377754683294695</v>
      </c>
      <c r="V2" s="5">
        <f t="shared" ref="V2:V33" si="1">D2/C2</f>
        <v>0.50285664868242663</v>
      </c>
      <c r="W2" s="5">
        <f t="shared" ref="W2:W33" si="2">E2/C2</f>
        <v>0.20327259235288539</v>
      </c>
      <c r="X2" s="5">
        <f t="shared" ref="X2:X33" si="3">F2/C2</f>
        <v>0.11155296795755199</v>
      </c>
      <c r="Y2" s="5">
        <f t="shared" ref="Y2:Y33" si="4">G2/C2</f>
        <v>0.13573405270293643</v>
      </c>
      <c r="Z2" s="5">
        <f t="shared" ref="Z2:Z33" si="5">(G2-H2)/G2</f>
        <v>0.20183740789838764</v>
      </c>
      <c r="AA2" s="5">
        <f t="shared" ref="AA2:AA33" si="6">H2/C2</f>
        <v>0.10833784334183261</v>
      </c>
      <c r="AB2" s="5">
        <f t="shared" ref="AB2:AB33" si="7">H2/M2</f>
        <v>0.18894821986790411</v>
      </c>
      <c r="AC2" s="5">
        <f t="shared" ref="AC2:AC33" si="8">(F2*(1-Z2))/(Q2-I2+M2)</f>
        <v>0.17886068504407962</v>
      </c>
      <c r="AD2" s="5">
        <f t="shared" ref="AD2:AD33" si="9">H2/K2</f>
        <v>9.494622525493801E-2</v>
      </c>
      <c r="AE2" s="3">
        <f>(I2+'Balance Sheet'!E2)/L2</f>
        <v>0.84198986261782982</v>
      </c>
      <c r="AF2" s="3">
        <f t="shared" ref="AF2:AF33" si="10">J2/L2</f>
        <v>1.0508153482718285</v>
      </c>
      <c r="AG2" s="2">
        <f t="shared" ref="AG2:AG33" si="11">Q2-I2</f>
        <v>-54178</v>
      </c>
      <c r="AH2" s="3">
        <f t="shared" ref="AH2:AH33" si="12">Q2/M2</f>
        <v>0.16749419191612033</v>
      </c>
      <c r="AI2" s="3">
        <f t="shared" ref="AI2:AI33" si="13">Q2/SUM(Q2,M2)</f>
        <v>0.14346468965402279</v>
      </c>
      <c r="AJ2" s="3">
        <f t="shared" ref="AJ2:AJ33" si="14">Q2/K2</f>
        <v>8.4165605188975631E-2</v>
      </c>
      <c r="AK2" s="3">
        <f t="shared" ref="AK2:AK33" si="15">F2/N2</f>
        <v>35.169305189094111</v>
      </c>
      <c r="AL2" s="3">
        <f t="shared" ref="AL2:AL33" si="16">K2/M2</f>
        <v>1.9900551007748166</v>
      </c>
      <c r="AM2" s="5">
        <f>T2/C2</f>
        <v>0.18386746712343288</v>
      </c>
      <c r="AN2" s="5">
        <f>'Balance Sheet'!J2/Ratios!K2</f>
        <v>0.75809310524398499</v>
      </c>
      <c r="AO2" s="5">
        <f>'Cash Flow'!E2/C2</f>
        <v>0.19460082240237458</v>
      </c>
      <c r="AP2" s="5">
        <f>('Cash Flow'!E2 +'Cash Flow'!F2)/Ratios!C2</f>
        <v>1.0733355278941701E-2</v>
      </c>
      <c r="AQ2">
        <v>38.31</v>
      </c>
    </row>
    <row r="3" spans="1:43" x14ac:dyDescent="0.35">
      <c r="A3" t="s">
        <v>17</v>
      </c>
      <c r="B3" s="1">
        <v>45657</v>
      </c>
      <c r="C3" s="40">
        <f>'Income Statement'!C3</f>
        <v>637959</v>
      </c>
      <c r="D3" s="40">
        <f>'Income Statement'!E3</f>
        <v>311671</v>
      </c>
      <c r="E3" s="40">
        <f>F3+S3</f>
        <v>121388</v>
      </c>
      <c r="F3" s="40">
        <f>'Income Statement'!L3</f>
        <v>68593</v>
      </c>
      <c r="G3" s="40">
        <f>'Income Statement'!P3</f>
        <v>68614</v>
      </c>
      <c r="H3" s="40">
        <f>'Income Statement'!R3</f>
        <v>59248</v>
      </c>
      <c r="I3" s="40">
        <f>'Balance Sheet'!D3</f>
        <v>101202</v>
      </c>
      <c r="J3" s="40">
        <f>'Balance Sheet'!I3</f>
        <v>190867</v>
      </c>
      <c r="K3" s="40">
        <f>'Balance Sheet'!R3</f>
        <v>624894</v>
      </c>
      <c r="L3" s="40">
        <f>'Balance Sheet'!X3</f>
        <v>179431</v>
      </c>
      <c r="M3" s="40">
        <f>'Balance Sheet'!AL3</f>
        <v>285970</v>
      </c>
      <c r="N3" s="41">
        <v>2406</v>
      </c>
      <c r="O3" s="40">
        <v>79596</v>
      </c>
      <c r="P3" s="40">
        <v>10602</v>
      </c>
      <c r="Q3" s="40">
        <v>57791</v>
      </c>
      <c r="R3" s="40">
        <f t="shared" ref="R3:R66" si="17">SUM(O3:Q3)</f>
        <v>147989</v>
      </c>
      <c r="S3" s="41">
        <v>52795</v>
      </c>
      <c r="T3" s="42">
        <f>-'Cash Flow'!F3</f>
        <v>82999</v>
      </c>
      <c r="U3" s="5">
        <f t="shared" si="0"/>
        <v>0.10990892246666145</v>
      </c>
      <c r="V3" s="5">
        <f t="shared" si="1"/>
        <v>0.48854393464156787</v>
      </c>
      <c r="W3" s="5">
        <f t="shared" si="2"/>
        <v>0.19027555062315918</v>
      </c>
      <c r="X3" s="5">
        <f t="shared" si="3"/>
        <v>0.1075194487420038</v>
      </c>
      <c r="Y3" s="5">
        <f t="shared" si="4"/>
        <v>0.10755236621789174</v>
      </c>
      <c r="Z3" s="5">
        <f t="shared" si="5"/>
        <v>0.13650275453988983</v>
      </c>
      <c r="AA3" s="5">
        <f t="shared" si="6"/>
        <v>9.2871171971866534E-2</v>
      </c>
      <c r="AB3" s="5">
        <f t="shared" si="7"/>
        <v>0.20718257159841941</v>
      </c>
      <c r="AC3" s="5">
        <f t="shared" si="8"/>
        <v>0.24418746184575851</v>
      </c>
      <c r="AD3" s="5">
        <f t="shared" si="9"/>
        <v>9.481288026449286E-2</v>
      </c>
      <c r="AE3" s="3">
        <f>(I3+'Balance Sheet'!E3)/L3</f>
        <v>0.83656670252074616</v>
      </c>
      <c r="AF3" s="3">
        <f t="shared" si="10"/>
        <v>1.0637348061371781</v>
      </c>
      <c r="AG3" s="2">
        <f t="shared" si="11"/>
        <v>-43411</v>
      </c>
      <c r="AH3" s="3">
        <f t="shared" si="12"/>
        <v>0.20208763156974507</v>
      </c>
      <c r="AI3" s="3">
        <f t="shared" si="13"/>
        <v>0.16811389308269409</v>
      </c>
      <c r="AJ3" s="3">
        <f t="shared" si="14"/>
        <v>9.2481284825906479E-2</v>
      </c>
      <c r="AK3" s="3">
        <f t="shared" si="15"/>
        <v>28.509143807148796</v>
      </c>
      <c r="AL3" s="3">
        <f t="shared" si="16"/>
        <v>2.1851732699234185</v>
      </c>
      <c r="AM3" s="5">
        <f t="shared" ref="AM3:AM66" si="18">T3/C3</f>
        <v>0.13010083720113674</v>
      </c>
      <c r="AN3" s="5">
        <f>'Balance Sheet'!J3/Ratios!K3</f>
        <v>0.7524412140298995</v>
      </c>
      <c r="AO3" s="5">
        <f>'Cash Flow'!E3/C3</f>
        <v>0.18163706445085029</v>
      </c>
      <c r="AP3" s="5">
        <f>('Cash Flow'!E3+'Cash Flow'!F3)/Ratios!C3</f>
        <v>5.1536227249713538E-2</v>
      </c>
      <c r="AQ3">
        <v>27</v>
      </c>
    </row>
    <row r="4" spans="1:43" x14ac:dyDescent="0.35">
      <c r="A4" t="s">
        <v>17</v>
      </c>
      <c r="B4" s="1">
        <v>45291</v>
      </c>
      <c r="C4" s="40">
        <f>'Income Statement'!C4</f>
        <v>574785</v>
      </c>
      <c r="D4" s="40">
        <f>'Income Statement'!E4</f>
        <v>270046</v>
      </c>
      <c r="E4" s="40">
        <f>F4+S4</f>
        <v>85515</v>
      </c>
      <c r="F4" s="40">
        <f>'Income Statement'!L4</f>
        <v>36852</v>
      </c>
      <c r="G4" s="40">
        <f>'Income Statement'!P4</f>
        <v>37557</v>
      </c>
      <c r="H4" s="40">
        <f>'Income Statement'!R4</f>
        <v>30425</v>
      </c>
      <c r="I4" s="40">
        <f>'Balance Sheet'!D4</f>
        <v>86780</v>
      </c>
      <c r="J4" s="40">
        <f>'Balance Sheet'!I4</f>
        <v>172351</v>
      </c>
      <c r="K4" s="40">
        <f>'Balance Sheet'!R4</f>
        <v>527854</v>
      </c>
      <c r="L4" s="40">
        <f>'Balance Sheet'!X4</f>
        <v>164917</v>
      </c>
      <c r="M4" s="40">
        <f>'Balance Sheet'!AL4</f>
        <v>201875</v>
      </c>
      <c r="N4" s="41">
        <v>3182</v>
      </c>
      <c r="O4" s="40">
        <v>75639</v>
      </c>
      <c r="P4" s="40">
        <v>12109</v>
      </c>
      <c r="Q4" s="40">
        <v>75823</v>
      </c>
      <c r="R4" s="40">
        <f t="shared" si="17"/>
        <v>163571</v>
      </c>
      <c r="S4" s="41">
        <v>48663</v>
      </c>
      <c r="T4" s="42">
        <f>-'Cash Flow'!F4</f>
        <v>52729</v>
      </c>
      <c r="U4" s="5">
        <f t="shared" si="0"/>
        <v>0.11829574129883673</v>
      </c>
      <c r="V4" s="5">
        <f t="shared" si="1"/>
        <v>0.46982088955000567</v>
      </c>
      <c r="W4" s="5">
        <f t="shared" si="2"/>
        <v>0.14877736892925181</v>
      </c>
      <c r="X4" s="5">
        <f t="shared" si="3"/>
        <v>6.4114407996033296E-2</v>
      </c>
      <c r="Y4" s="5">
        <f t="shared" si="4"/>
        <v>6.5340953573945038E-2</v>
      </c>
      <c r="Z4" s="5">
        <f t="shared" si="5"/>
        <v>0.18989802167372261</v>
      </c>
      <c r="AA4" s="5">
        <f t="shared" si="6"/>
        <v>5.2932835755978319E-2</v>
      </c>
      <c r="AB4" s="5">
        <f t="shared" si="7"/>
        <v>0.15071207430340558</v>
      </c>
      <c r="AC4" s="5">
        <f t="shared" si="8"/>
        <v>0.15637015946783422</v>
      </c>
      <c r="AD4" s="5">
        <f t="shared" si="9"/>
        <v>5.7639044129626754E-2</v>
      </c>
      <c r="AE4" s="3">
        <f>(I4+'Balance Sheet'!E4)/L4</f>
        <v>0.80729094029117676</v>
      </c>
      <c r="AF4" s="3">
        <f t="shared" si="10"/>
        <v>1.0450772206625152</v>
      </c>
      <c r="AG4" s="2">
        <f t="shared" si="11"/>
        <v>-10957</v>
      </c>
      <c r="AH4" s="3">
        <f t="shared" si="12"/>
        <v>0.37559380804953563</v>
      </c>
      <c r="AI4" s="3">
        <f t="shared" si="13"/>
        <v>0.27304121743764809</v>
      </c>
      <c r="AJ4" s="3">
        <f t="shared" si="14"/>
        <v>0.14364388637767261</v>
      </c>
      <c r="AK4" s="3">
        <f t="shared" si="15"/>
        <v>11.581395348837209</v>
      </c>
      <c r="AL4" s="3">
        <f t="shared" si="16"/>
        <v>2.6147566563467493</v>
      </c>
      <c r="AM4" s="5">
        <f t="shared" si="18"/>
        <v>9.1736910322990334E-2</v>
      </c>
      <c r="AN4" s="5">
        <f>'Balance Sheet'!J4/Ratios!K4</f>
        <v>0.75172490878159492</v>
      </c>
      <c r="AO4" s="5">
        <f>'Cash Flow'!E4/C4</f>
        <v>0.14778743356211452</v>
      </c>
      <c r="AP4" s="5">
        <f>('Cash Flow'!E4+'Cash Flow'!F4)/Ratios!C4</f>
        <v>5.6050523239124198E-2</v>
      </c>
      <c r="AQ4">
        <v>19.440000000000001</v>
      </c>
    </row>
    <row r="5" spans="1:43" x14ac:dyDescent="0.35">
      <c r="A5" t="s">
        <v>17</v>
      </c>
      <c r="B5" s="1">
        <v>44926</v>
      </c>
      <c r="C5" s="40">
        <f>'Income Statement'!C5</f>
        <v>513983</v>
      </c>
      <c r="D5" s="40">
        <f>'Income Statement'!E5</f>
        <v>225152</v>
      </c>
      <c r="E5" s="41">
        <v>38852</v>
      </c>
      <c r="F5" s="40">
        <f>'Income Statement'!L5</f>
        <v>12248</v>
      </c>
      <c r="G5" s="40">
        <f>'Income Statement'!P5</f>
        <v>-5936</v>
      </c>
      <c r="H5" s="40">
        <f>'Income Statement'!R5</f>
        <v>-2722</v>
      </c>
      <c r="I5" s="40">
        <f>'Balance Sheet'!D5</f>
        <v>70026</v>
      </c>
      <c r="J5" s="40">
        <f>'Balance Sheet'!I5</f>
        <v>146791</v>
      </c>
      <c r="K5" s="40">
        <f>'Balance Sheet'!R5</f>
        <v>462675</v>
      </c>
      <c r="L5" s="40">
        <f>'Balance Sheet'!X5</f>
        <v>155393</v>
      </c>
      <c r="M5" s="40">
        <f>'Balance Sheet'!AL5</f>
        <v>146043</v>
      </c>
      <c r="N5" s="41">
        <v>2367</v>
      </c>
      <c r="O5" s="40">
        <v>69040</v>
      </c>
      <c r="P5" s="40">
        <v>15783</v>
      </c>
      <c r="Q5" s="40">
        <v>76949</v>
      </c>
      <c r="R5" s="40">
        <f t="shared" si="17"/>
        <v>161772</v>
      </c>
      <c r="S5" s="41">
        <v>41921</v>
      </c>
      <c r="T5" s="42">
        <f>-'Cash Flow'!F5</f>
        <v>63645</v>
      </c>
      <c r="U5" s="5">
        <f t="shared" si="0"/>
        <v>9.3995172639850841E-2</v>
      </c>
      <c r="V5" s="5">
        <f t="shared" si="1"/>
        <v>0.43805339865326287</v>
      </c>
      <c r="W5" s="5">
        <f t="shared" si="2"/>
        <v>7.5590048698108689E-2</v>
      </c>
      <c r="X5" s="5">
        <f t="shared" si="3"/>
        <v>2.3829581912242232E-2</v>
      </c>
      <c r="Y5" s="5">
        <f t="shared" si="4"/>
        <v>-1.1549020103777752E-2</v>
      </c>
      <c r="Z5" s="5">
        <f t="shared" si="5"/>
        <v>0.5414420485175202</v>
      </c>
      <c r="AA5" s="5">
        <f t="shared" si="6"/>
        <v>-5.2958950004183018E-3</v>
      </c>
      <c r="AB5" s="5">
        <f t="shared" si="7"/>
        <v>-1.8638346240490815E-2</v>
      </c>
      <c r="AC5" s="5">
        <f t="shared" si="8"/>
        <v>3.6716772287681006E-2</v>
      </c>
      <c r="AD5" s="5">
        <f t="shared" si="9"/>
        <v>-5.8831793375479545E-3</v>
      </c>
      <c r="AE5" s="3">
        <f>(I5+'Balance Sheet'!E5)/L5</f>
        <v>0.7209333753772692</v>
      </c>
      <c r="AF5" s="3">
        <f t="shared" si="10"/>
        <v>0.9446435811136924</v>
      </c>
      <c r="AG5" s="2">
        <f t="shared" si="11"/>
        <v>6923</v>
      </c>
      <c r="AH5" s="3">
        <f t="shared" si="12"/>
        <v>0.52689276445978239</v>
      </c>
      <c r="AI5" s="3">
        <f t="shared" si="13"/>
        <v>0.34507515964698288</v>
      </c>
      <c r="AJ5" s="3">
        <f t="shared" si="14"/>
        <v>0.16631328686442967</v>
      </c>
      <c r="AK5" s="3">
        <f t="shared" si="15"/>
        <v>5.1744824672581329</v>
      </c>
      <c r="AL5" s="3">
        <f t="shared" si="16"/>
        <v>3.1680737864875415</v>
      </c>
      <c r="AM5" s="5">
        <f t="shared" si="18"/>
        <v>0.12382705264571008</v>
      </c>
      <c r="AN5" s="5">
        <f>'Balance Sheet'!J5/Ratios!K5</f>
        <v>0.75615280704598264</v>
      </c>
      <c r="AO5" s="5">
        <f>'Cash Flow'!E5/C5</f>
        <v>9.0960206855090542E-2</v>
      </c>
      <c r="AP5" s="5">
        <f>('Cash Flow'!E5+'Cash Flow'!F5)/Ratios!C5</f>
        <v>-3.2866845790619534E-2</v>
      </c>
      <c r="AQ5">
        <v>14.26</v>
      </c>
    </row>
    <row r="6" spans="1:43" x14ac:dyDescent="0.35">
      <c r="A6" t="s">
        <v>17</v>
      </c>
      <c r="B6" s="1">
        <v>44561</v>
      </c>
      <c r="C6" s="40">
        <f>'Income Statement'!C6</f>
        <v>469822</v>
      </c>
      <c r="D6" s="40">
        <f>'Income Statement'!E6</f>
        <v>197478</v>
      </c>
      <c r="E6" s="41">
        <v>48291</v>
      </c>
      <c r="F6" s="40">
        <f>'Income Statement'!L6</f>
        <v>24879</v>
      </c>
      <c r="G6" s="40">
        <f>'Income Statement'!P6</f>
        <v>38151</v>
      </c>
      <c r="H6" s="40">
        <f>'Income Statement'!R6</f>
        <v>33364</v>
      </c>
      <c r="I6" s="40">
        <f>'Balance Sheet'!D6</f>
        <v>96049</v>
      </c>
      <c r="J6" s="40">
        <f>'Balance Sheet'!I6</f>
        <v>161580</v>
      </c>
      <c r="K6" s="40">
        <f>'Balance Sheet'!R6</f>
        <v>420549</v>
      </c>
      <c r="L6" s="40">
        <f>'Balance Sheet'!X6</f>
        <v>142266</v>
      </c>
      <c r="M6" s="40">
        <f>'Balance Sheet'!AL6</f>
        <v>138245</v>
      </c>
      <c r="N6" s="41">
        <v>1809</v>
      </c>
      <c r="O6" s="40">
        <v>58330</v>
      </c>
      <c r="P6" s="40">
        <v>23753</v>
      </c>
      <c r="Q6" s="40">
        <v>52769</v>
      </c>
      <c r="R6" s="40">
        <f t="shared" si="17"/>
        <v>134852</v>
      </c>
      <c r="S6" s="41">
        <v>34433</v>
      </c>
      <c r="T6" s="42">
        <f>-'Cash Flow'!F6</f>
        <v>61053</v>
      </c>
      <c r="U6" s="5">
        <f t="shared" si="0"/>
        <v>0.21695366571345684</v>
      </c>
      <c r="V6" s="5">
        <f t="shared" si="1"/>
        <v>0.42032514441639601</v>
      </c>
      <c r="W6" s="5">
        <f t="shared" si="2"/>
        <v>0.10278573587443755</v>
      </c>
      <c r="X6" s="5">
        <f t="shared" si="3"/>
        <v>5.2954097509269465E-2</v>
      </c>
      <c r="Y6" s="5">
        <f t="shared" si="4"/>
        <v>8.1203093937704071E-2</v>
      </c>
      <c r="Z6" s="5">
        <f t="shared" si="5"/>
        <v>0.12547508584309716</v>
      </c>
      <c r="AA6" s="5">
        <f t="shared" si="6"/>
        <v>7.1014128755145567E-2</v>
      </c>
      <c r="AB6" s="5">
        <f t="shared" si="7"/>
        <v>0.2413396506202756</v>
      </c>
      <c r="AC6" s="5">
        <f t="shared" si="8"/>
        <v>0.22910867518885467</v>
      </c>
      <c r="AD6" s="5">
        <f t="shared" si="9"/>
        <v>7.9334393851846041E-2</v>
      </c>
      <c r="AE6" s="3">
        <f>(I6+'Balance Sheet'!E6)/L6</f>
        <v>0.90462935627627117</v>
      </c>
      <c r="AF6" s="3">
        <f t="shared" si="10"/>
        <v>1.1357597739445826</v>
      </c>
      <c r="AG6" s="2">
        <f t="shared" si="11"/>
        <v>-43280</v>
      </c>
      <c r="AH6" s="3">
        <f t="shared" si="12"/>
        <v>0.38170639082787805</v>
      </c>
      <c r="AI6" s="3">
        <f t="shared" si="13"/>
        <v>0.27625723768938404</v>
      </c>
      <c r="AJ6" s="3">
        <f t="shared" si="14"/>
        <v>0.12547646053135306</v>
      </c>
      <c r="AK6" s="3">
        <f t="shared" si="15"/>
        <v>13.752902155887231</v>
      </c>
      <c r="AL6" s="3">
        <f t="shared" si="16"/>
        <v>3.0420557705522802</v>
      </c>
      <c r="AM6" s="5">
        <f t="shared" si="18"/>
        <v>0.12994921480901278</v>
      </c>
      <c r="AN6" s="5">
        <f>'Balance Sheet'!J6/Ratios!K6</f>
        <v>0.70118345305778873</v>
      </c>
      <c r="AO6" s="5">
        <f>'Cash Flow'!E6/C6</f>
        <v>9.8605429290241839E-2</v>
      </c>
      <c r="AP6" s="5">
        <f>('Cash Flow'!E6+'Cash Flow'!F6)/Ratios!C6</f>
        <v>-3.1343785518770942E-2</v>
      </c>
      <c r="AQ6">
        <v>13.58</v>
      </c>
    </row>
    <row r="7" spans="1:43" x14ac:dyDescent="0.35">
      <c r="A7" t="s">
        <v>17</v>
      </c>
      <c r="B7" s="1">
        <v>44196</v>
      </c>
      <c r="C7" s="40">
        <f>'Income Statement'!C7</f>
        <v>386064</v>
      </c>
      <c r="D7" s="40">
        <f>'Income Statement'!E7</f>
        <v>152757</v>
      </c>
      <c r="E7" s="41">
        <v>51108</v>
      </c>
      <c r="F7" s="40">
        <f>'Income Statement'!L7</f>
        <v>22899</v>
      </c>
      <c r="G7" s="40">
        <f>'Income Statement'!P7</f>
        <v>24178</v>
      </c>
      <c r="H7" s="40">
        <f>'Income Statement'!R7</f>
        <v>21331</v>
      </c>
      <c r="I7" s="40">
        <f>'Balance Sheet'!D7</f>
        <v>84396</v>
      </c>
      <c r="J7" s="40">
        <f>'Balance Sheet'!I7</f>
        <v>132733</v>
      </c>
      <c r="K7" s="40">
        <f>'Balance Sheet'!R7</f>
        <v>321195</v>
      </c>
      <c r="L7" s="40">
        <f>'Balance Sheet'!X7</f>
        <v>126385</v>
      </c>
      <c r="M7" s="40">
        <f>'Balance Sheet'!AL7</f>
        <v>93404</v>
      </c>
      <c r="N7" s="41">
        <v>1647</v>
      </c>
      <c r="O7" s="40">
        <v>39099</v>
      </c>
      <c r="P7" s="40">
        <v>28434</v>
      </c>
      <c r="Q7" s="40">
        <v>33696</v>
      </c>
      <c r="R7" s="40">
        <f t="shared" si="17"/>
        <v>101229</v>
      </c>
      <c r="S7" s="41">
        <v>25180</v>
      </c>
      <c r="T7" s="42">
        <f>-'Cash Flow'!F7</f>
        <v>40140</v>
      </c>
      <c r="U7" s="5">
        <f t="shared" si="0"/>
        <v>0.37623430604373276</v>
      </c>
      <c r="V7" s="5">
        <f t="shared" si="1"/>
        <v>0.3956779186870571</v>
      </c>
      <c r="W7" s="5">
        <f t="shared" si="2"/>
        <v>0.1323821956981226</v>
      </c>
      <c r="X7" s="5">
        <f t="shared" si="3"/>
        <v>5.9313999751336569E-2</v>
      </c>
      <c r="Y7" s="5">
        <f t="shared" si="4"/>
        <v>6.2626921961125612E-2</v>
      </c>
      <c r="Z7" s="5">
        <f t="shared" si="5"/>
        <v>0.11775167507651584</v>
      </c>
      <c r="AA7" s="5">
        <f t="shared" si="6"/>
        <v>5.5252496995316841E-2</v>
      </c>
      <c r="AB7" s="5">
        <f t="shared" si="7"/>
        <v>0.22837351719412444</v>
      </c>
      <c r="AC7" s="5">
        <f t="shared" si="8"/>
        <v>0.47308459142990972</v>
      </c>
      <c r="AD7" s="5">
        <f t="shared" si="9"/>
        <v>6.6411370040006856E-2</v>
      </c>
      <c r="AE7" s="3">
        <f>(I7+'Balance Sheet'!E7)/L7</f>
        <v>0.86010998140602124</v>
      </c>
      <c r="AF7" s="3">
        <f t="shared" si="10"/>
        <v>1.0502274795268425</v>
      </c>
      <c r="AG7" s="2">
        <f t="shared" si="11"/>
        <v>-50700</v>
      </c>
      <c r="AH7" s="3">
        <f t="shared" si="12"/>
        <v>0.36075542803306071</v>
      </c>
      <c r="AI7" s="3">
        <f t="shared" si="13"/>
        <v>0.26511408339889853</v>
      </c>
      <c r="AJ7" s="3">
        <f t="shared" si="14"/>
        <v>0.10490823331620978</v>
      </c>
      <c r="AK7" s="3">
        <f t="shared" si="15"/>
        <v>13.903460837887067</v>
      </c>
      <c r="AL7" s="3">
        <f t="shared" si="16"/>
        <v>3.4387713588283155</v>
      </c>
      <c r="AM7" s="5">
        <f t="shared" si="18"/>
        <v>0.10397239835882134</v>
      </c>
      <c r="AN7" s="5">
        <f>'Balance Sheet'!J7/Ratios!K7</f>
        <v>0.65723625834773269</v>
      </c>
      <c r="AO7" s="5">
        <f>'Cash Flow'!E7/C7</f>
        <v>0.17112188652658628</v>
      </c>
      <c r="AP7" s="5">
        <f>('Cash Flow'!E7+'Cash Flow'!F7)/Ratios!C7</f>
        <v>6.7149488167764934E-2</v>
      </c>
      <c r="AQ7">
        <v>9.2799999999999994</v>
      </c>
    </row>
    <row r="8" spans="1:43" x14ac:dyDescent="0.35">
      <c r="A8" t="s">
        <v>17</v>
      </c>
      <c r="B8" s="1">
        <v>43830</v>
      </c>
      <c r="C8" s="40">
        <f>'Income Statement'!C8</f>
        <v>280522</v>
      </c>
      <c r="D8" s="40">
        <f>'Income Statement'!E8</f>
        <v>114986</v>
      </c>
      <c r="E8" s="41">
        <v>30256</v>
      </c>
      <c r="F8" s="40">
        <f>'Income Statement'!L8</f>
        <v>14541</v>
      </c>
      <c r="G8" s="40">
        <f>'Income Statement'!P8</f>
        <v>13976</v>
      </c>
      <c r="H8" s="40">
        <f>'Income Statement'!R8</f>
        <v>11588</v>
      </c>
      <c r="I8" s="40">
        <f>'Balance Sheet'!D8</f>
        <v>55021</v>
      </c>
      <c r="J8" s="40">
        <f>'Balance Sheet'!I8</f>
        <v>96334</v>
      </c>
      <c r="K8" s="40">
        <f>'Balance Sheet'!R8</f>
        <v>225248</v>
      </c>
      <c r="L8" s="40">
        <f>'Balance Sheet'!X8</f>
        <v>87812</v>
      </c>
      <c r="M8" s="40">
        <f>'Balance Sheet'!AL8</f>
        <v>62060</v>
      </c>
      <c r="N8" s="41">
        <v>1600</v>
      </c>
      <c r="O8" s="40">
        <v>25835</v>
      </c>
      <c r="P8" s="40">
        <v>26979</v>
      </c>
      <c r="Q8" s="40">
        <v>26127</v>
      </c>
      <c r="R8" s="40">
        <f t="shared" si="17"/>
        <v>78941</v>
      </c>
      <c r="S8" s="41">
        <v>21789</v>
      </c>
      <c r="T8" s="42">
        <f>-'Cash Flow'!F8</f>
        <v>16861</v>
      </c>
      <c r="U8" s="5">
        <f t="shared" si="0"/>
        <v>0.2045412582067698</v>
      </c>
      <c r="V8" s="5">
        <f t="shared" si="1"/>
        <v>0.40990011478600608</v>
      </c>
      <c r="W8" s="5">
        <f t="shared" si="2"/>
        <v>0.10785606832975667</v>
      </c>
      <c r="X8" s="5">
        <f t="shared" si="3"/>
        <v>5.1835506662579051E-2</v>
      </c>
      <c r="Y8" s="5">
        <f t="shared" si="4"/>
        <v>4.9821404381831018E-2</v>
      </c>
      <c r="Z8" s="5">
        <f t="shared" si="5"/>
        <v>0.1708643388666285</v>
      </c>
      <c r="AA8" s="5">
        <f t="shared" si="6"/>
        <v>4.1308703060722513E-2</v>
      </c>
      <c r="AB8" s="5">
        <f t="shared" si="7"/>
        <v>0.1867225265871737</v>
      </c>
      <c r="AC8" s="5">
        <f t="shared" si="8"/>
        <v>0.363518713397466</v>
      </c>
      <c r="AD8" s="5">
        <f t="shared" si="9"/>
        <v>5.1445517829237106E-2</v>
      </c>
      <c r="AE8" s="3">
        <f>(I8+'Balance Sheet'!E8)/L8</f>
        <v>0.86048603835466675</v>
      </c>
      <c r="AF8" s="3">
        <f t="shared" si="10"/>
        <v>1.0970482394205803</v>
      </c>
      <c r="AG8" s="2">
        <f t="shared" si="11"/>
        <v>-28894</v>
      </c>
      <c r="AH8" s="3">
        <f t="shared" si="12"/>
        <v>0.42099581050596196</v>
      </c>
      <c r="AI8" s="3">
        <f t="shared" si="13"/>
        <v>0.29626815743817114</v>
      </c>
      <c r="AJ8" s="3">
        <f t="shared" si="14"/>
        <v>0.11599215087370365</v>
      </c>
      <c r="AK8" s="3">
        <f t="shared" si="15"/>
        <v>9.0881249999999998</v>
      </c>
      <c r="AL8" s="3">
        <f t="shared" si="16"/>
        <v>3.6295198195294875</v>
      </c>
      <c r="AM8" s="5">
        <f t="shared" si="18"/>
        <v>6.0105802753438235E-2</v>
      </c>
      <c r="AN8" s="5">
        <f>'Balance Sheet'!J8/Ratios!K8</f>
        <v>0.64294022588435862</v>
      </c>
      <c r="AO8" s="5">
        <f>'Cash Flow'!E8/C8</f>
        <v>0.13729404467385803</v>
      </c>
      <c r="AP8" s="5">
        <f>('Cash Flow'!E8+'Cash Flow'!F8)/Ratios!C8</f>
        <v>7.7188241920419787E-2</v>
      </c>
      <c r="AQ8">
        <v>6.23</v>
      </c>
    </row>
    <row r="9" spans="1:43" x14ac:dyDescent="0.35">
      <c r="A9" t="s">
        <v>17</v>
      </c>
      <c r="B9" s="1">
        <v>43465</v>
      </c>
      <c r="C9" s="40">
        <f>'Income Statement'!C9</f>
        <v>232887</v>
      </c>
      <c r="D9" s="40">
        <f>'Income Statement'!E9</f>
        <v>93731</v>
      </c>
      <c r="E9" s="41">
        <v>25034</v>
      </c>
      <c r="F9" s="40">
        <f>'Income Statement'!L9</f>
        <v>12421</v>
      </c>
      <c r="G9" s="40">
        <f>'Income Statement'!P9</f>
        <v>11261</v>
      </c>
      <c r="H9" s="40">
        <f>'Income Statement'!R9</f>
        <v>10073</v>
      </c>
      <c r="I9" s="40">
        <f>'Balance Sheet'!D9</f>
        <v>41250</v>
      </c>
      <c r="J9" s="40">
        <f>'Balance Sheet'!I9</f>
        <v>75101</v>
      </c>
      <c r="K9" s="40">
        <f>'Balance Sheet'!R9</f>
        <v>162648</v>
      </c>
      <c r="L9" s="40">
        <f>'Balance Sheet'!X9</f>
        <v>68391</v>
      </c>
      <c r="M9" s="40">
        <f>'Balance Sheet'!AL9</f>
        <v>43549</v>
      </c>
      <c r="N9" s="41">
        <v>1417</v>
      </c>
      <c r="O9" s="40">
        <v>26666</v>
      </c>
      <c r="P9" s="40">
        <f>17370+7053</f>
        <v>24423</v>
      </c>
      <c r="Q9" s="40">
        <v>26336</v>
      </c>
      <c r="R9" s="40">
        <f t="shared" si="17"/>
        <v>77425</v>
      </c>
      <c r="S9" s="41">
        <v>15341</v>
      </c>
      <c r="T9" s="42">
        <f>-'Cash Flow'!F9</f>
        <v>13427</v>
      </c>
      <c r="U9" s="5">
        <f t="shared" si="0"/>
        <v>0.3093396152159491</v>
      </c>
      <c r="V9" s="5">
        <f t="shared" si="1"/>
        <v>0.40247416128852193</v>
      </c>
      <c r="W9" s="5">
        <f t="shared" si="2"/>
        <v>0.10749419246243887</v>
      </c>
      <c r="X9" s="5">
        <f t="shared" si="3"/>
        <v>5.3334879147397665E-2</v>
      </c>
      <c r="Y9" s="5">
        <f t="shared" si="4"/>
        <v>4.8353922717884641E-2</v>
      </c>
      <c r="Z9" s="5">
        <f t="shared" si="5"/>
        <v>0.10549684752686263</v>
      </c>
      <c r="AA9" s="5">
        <f t="shared" si="6"/>
        <v>4.3252736305590261E-2</v>
      </c>
      <c r="AB9" s="5">
        <f t="shared" si="7"/>
        <v>0.231302670555007</v>
      </c>
      <c r="AC9" s="5">
        <f t="shared" si="8"/>
        <v>0.38800850905775591</v>
      </c>
      <c r="AD9" s="5">
        <f t="shared" si="9"/>
        <v>6.1931287196891449E-2</v>
      </c>
      <c r="AE9" s="3">
        <f>(I9+'Balance Sheet'!E9)/L9</f>
        <v>0.84699741194016753</v>
      </c>
      <c r="AF9" s="3">
        <f t="shared" si="10"/>
        <v>1.0981123247210891</v>
      </c>
      <c r="AG9" s="2">
        <f t="shared" si="11"/>
        <v>-14914</v>
      </c>
      <c r="AH9" s="3">
        <f t="shared" si="12"/>
        <v>0.60474408137959534</v>
      </c>
      <c r="AI9" s="3">
        <f t="shared" si="13"/>
        <v>0.37684767832868282</v>
      </c>
      <c r="AJ9" s="3">
        <f t="shared" si="14"/>
        <v>0.16192022035315529</v>
      </c>
      <c r="AK9" s="3">
        <f t="shared" si="15"/>
        <v>8.765702187720537</v>
      </c>
      <c r="AL9" s="3">
        <f t="shared" si="16"/>
        <v>3.734827435762015</v>
      </c>
      <c r="AM9" s="5">
        <f t="shared" si="18"/>
        <v>5.7654570671613274E-2</v>
      </c>
      <c r="AN9" s="5">
        <f>'Balance Sheet'!J9/Ratios!K9</f>
        <v>0.58881756922925577</v>
      </c>
      <c r="AO9" s="5">
        <f>'Cash Flow'!E9/C9</f>
        <v>0.13192234860683508</v>
      </c>
      <c r="AP9" s="5">
        <f>('Cash Flow'!E9+'Cash Flow'!F9)/Ratios!C9</f>
        <v>7.4267777935221796E-2</v>
      </c>
      <c r="AQ9">
        <v>4.43</v>
      </c>
    </row>
    <row r="10" spans="1:43" x14ac:dyDescent="0.35">
      <c r="A10" t="s">
        <v>17</v>
      </c>
      <c r="B10" s="1">
        <v>43100</v>
      </c>
      <c r="C10" s="40">
        <f>'Income Statement'!C10</f>
        <v>177866</v>
      </c>
      <c r="D10" s="40">
        <f>'Income Statement'!E10</f>
        <v>65932</v>
      </c>
      <c r="E10" s="41">
        <v>13272</v>
      </c>
      <c r="F10" s="40">
        <f>'Income Statement'!L10</f>
        <v>4106</v>
      </c>
      <c r="G10" s="40">
        <f>'Income Statement'!P10</f>
        <v>3806</v>
      </c>
      <c r="H10" s="40">
        <f>'Income Statement'!R10</f>
        <v>3033</v>
      </c>
      <c r="I10" s="40">
        <f>'Balance Sheet'!D10</f>
        <v>30986</v>
      </c>
      <c r="J10" s="40">
        <f>'Balance Sheet'!I10</f>
        <v>60197</v>
      </c>
      <c r="K10" s="40">
        <f>'Balance Sheet'!R10</f>
        <v>131310</v>
      </c>
      <c r="L10" s="40">
        <f>'Balance Sheet'!X10</f>
        <v>57883</v>
      </c>
      <c r="M10" s="40">
        <f>'Balance Sheet'!AL10</f>
        <v>27709</v>
      </c>
      <c r="N10" s="41">
        <v>848</v>
      </c>
      <c r="O10" s="40">
        <v>22848</v>
      </c>
      <c r="P10" s="40">
        <f>14277+5027</f>
        <v>19304</v>
      </c>
      <c r="Q10" s="40">
        <v>9894</v>
      </c>
      <c r="R10" s="40">
        <f t="shared" si="17"/>
        <v>52046</v>
      </c>
      <c r="S10" s="41">
        <v>11478</v>
      </c>
      <c r="T10" s="42">
        <f>-'Cash Flow'!F10</f>
        <v>11955</v>
      </c>
      <c r="U10" s="5">
        <f t="shared" si="0"/>
        <v>0.30796326119408474</v>
      </c>
      <c r="V10" s="5">
        <f t="shared" si="1"/>
        <v>0.3706835482891615</v>
      </c>
      <c r="W10" s="5">
        <f t="shared" si="2"/>
        <v>7.4617970831974634E-2</v>
      </c>
      <c r="X10" s="5">
        <f t="shared" si="3"/>
        <v>2.3084794170892695E-2</v>
      </c>
      <c r="Y10" s="5">
        <f t="shared" si="4"/>
        <v>2.1398131177403214E-2</v>
      </c>
      <c r="Z10" s="5">
        <f t="shared" si="5"/>
        <v>0.20310036784025223</v>
      </c>
      <c r="AA10" s="5">
        <f t="shared" si="6"/>
        <v>1.7052162864178651E-2</v>
      </c>
      <c r="AB10" s="5">
        <f t="shared" si="7"/>
        <v>0.10945902053484427</v>
      </c>
      <c r="AC10" s="5">
        <f t="shared" si="8"/>
        <v>0.49449446722803753</v>
      </c>
      <c r="AD10" s="5">
        <f t="shared" si="9"/>
        <v>2.3098012337217273E-2</v>
      </c>
      <c r="AE10" s="3">
        <f>(I10+'Balance Sheet'!E10)/L10</f>
        <v>0.76274553841369663</v>
      </c>
      <c r="AF10" s="3">
        <f t="shared" si="10"/>
        <v>1.039977195376881</v>
      </c>
      <c r="AG10" s="2">
        <f t="shared" si="11"/>
        <v>-21092</v>
      </c>
      <c r="AH10" s="3">
        <f t="shared" si="12"/>
        <v>0.35706810061712801</v>
      </c>
      <c r="AI10" s="3">
        <f t="shared" si="13"/>
        <v>0.263117304470388</v>
      </c>
      <c r="AJ10" s="3">
        <f t="shared" si="14"/>
        <v>7.5348412154443684E-2</v>
      </c>
      <c r="AK10" s="3">
        <f t="shared" si="15"/>
        <v>4.841981132075472</v>
      </c>
      <c r="AL10" s="3">
        <f t="shared" si="16"/>
        <v>4.7388935003067596</v>
      </c>
      <c r="AM10" s="5">
        <f t="shared" si="18"/>
        <v>6.7213520290555814E-2</v>
      </c>
      <c r="AN10" s="5">
        <f>'Balance Sheet'!J10/Ratios!K10</f>
        <v>0.52222222222222225</v>
      </c>
      <c r="AO10" s="5">
        <f>'Cash Flow'!E10/C10</f>
        <v>0.10325188625144772</v>
      </c>
      <c r="AP10" s="5">
        <f>('Cash Flow'!E10+'Cash Flow'!F10)/Ratios!C10</f>
        <v>3.603836596089191E-2</v>
      </c>
      <c r="AQ10">
        <v>2.86</v>
      </c>
    </row>
    <row r="11" spans="1:43" x14ac:dyDescent="0.35">
      <c r="A11" t="s">
        <v>17</v>
      </c>
      <c r="B11" s="1">
        <v>42735</v>
      </c>
      <c r="C11" s="40">
        <f>'Income Statement'!C11</f>
        <v>135987</v>
      </c>
      <c r="D11" s="40">
        <f>'Income Statement'!E11</f>
        <v>47722</v>
      </c>
      <c r="E11" s="41">
        <v>10873</v>
      </c>
      <c r="F11" s="40">
        <f>'Income Statement'!L11</f>
        <v>4186</v>
      </c>
      <c r="G11" s="40">
        <f>'Income Statement'!P11</f>
        <v>3892</v>
      </c>
      <c r="H11" s="40">
        <f>'Income Statement'!R11</f>
        <v>2371</v>
      </c>
      <c r="I11" s="40">
        <f>'Balance Sheet'!D11</f>
        <v>25981</v>
      </c>
      <c r="J11" s="40">
        <f>'Balance Sheet'!I11</f>
        <v>45781</v>
      </c>
      <c r="K11" s="40">
        <f>'Balance Sheet'!R11</f>
        <v>83402</v>
      </c>
      <c r="L11" s="40">
        <f>'Balance Sheet'!X11</f>
        <v>43816</v>
      </c>
      <c r="M11" s="40">
        <f>'Balance Sheet'!AL11</f>
        <v>19285</v>
      </c>
      <c r="N11" s="41">
        <v>484</v>
      </c>
      <c r="O11" s="40">
        <v>9510</v>
      </c>
      <c r="P11" s="40">
        <v>11660</v>
      </c>
      <c r="Q11" s="40">
        <v>8800</v>
      </c>
      <c r="R11" s="40">
        <f t="shared" si="17"/>
        <v>29970</v>
      </c>
      <c r="S11" s="41">
        <v>8116</v>
      </c>
      <c r="T11" s="42">
        <f>-'Cash Flow'!F11</f>
        <v>7804</v>
      </c>
      <c r="U11" s="5">
        <f t="shared" si="0"/>
        <v>0.27083528026465803</v>
      </c>
      <c r="V11" s="5">
        <f t="shared" si="1"/>
        <v>0.35093060366064405</v>
      </c>
      <c r="W11" s="5">
        <f t="shared" si="2"/>
        <v>7.9956172281173937E-2</v>
      </c>
      <c r="X11" s="5">
        <f t="shared" si="3"/>
        <v>3.0782354195621642E-2</v>
      </c>
      <c r="Y11" s="5">
        <f t="shared" si="4"/>
        <v>2.862038283071176E-2</v>
      </c>
      <c r="Z11" s="5">
        <f t="shared" si="5"/>
        <v>0.39080164439876669</v>
      </c>
      <c r="AA11" s="5">
        <f t="shared" si="6"/>
        <v>1.7435490157147373E-2</v>
      </c>
      <c r="AB11" s="5">
        <f t="shared" si="7"/>
        <v>0.12294529427015816</v>
      </c>
      <c r="AC11" s="5">
        <f t="shared" si="8"/>
        <v>1.2120267664195639</v>
      </c>
      <c r="AD11" s="5">
        <f t="shared" si="9"/>
        <v>2.842857485432004E-2</v>
      </c>
      <c r="AE11" s="3">
        <f>(I11+'Balance Sheet'!E11)/L11</f>
        <v>0.78327551579331756</v>
      </c>
      <c r="AF11" s="3">
        <f t="shared" si="10"/>
        <v>1.0448466313675371</v>
      </c>
      <c r="AG11" s="2">
        <f t="shared" si="11"/>
        <v>-17181</v>
      </c>
      <c r="AH11" s="3">
        <f t="shared" si="12"/>
        <v>0.4563131967850661</v>
      </c>
      <c r="AI11" s="3">
        <f t="shared" si="13"/>
        <v>0.31333452020651592</v>
      </c>
      <c r="AJ11" s="3">
        <f t="shared" si="14"/>
        <v>0.10551305724083355</v>
      </c>
      <c r="AK11" s="3">
        <f t="shared" si="15"/>
        <v>8.6487603305785132</v>
      </c>
      <c r="AL11" s="3">
        <f t="shared" si="16"/>
        <v>4.3247083225304639</v>
      </c>
      <c r="AM11" s="5">
        <f t="shared" si="18"/>
        <v>5.7387838543390177E-2</v>
      </c>
      <c r="AN11" s="5">
        <f>'Balance Sheet'!J11/Ratios!K11</f>
        <v>0.50887268890434278</v>
      </c>
      <c r="AO11" s="5">
        <f>'Cash Flow'!E11/C11</f>
        <v>0.12650473942362137</v>
      </c>
      <c r="AP11" s="5">
        <f>('Cash Flow'!E11+'Cash Flow'!F11)/Ratios!C11</f>
        <v>6.9116900880231202E-2</v>
      </c>
      <c r="AQ11">
        <v>2.02</v>
      </c>
    </row>
    <row r="12" spans="1:43" x14ac:dyDescent="0.35">
      <c r="A12" t="s">
        <v>17</v>
      </c>
      <c r="B12" s="1">
        <v>42369</v>
      </c>
      <c r="C12" s="40">
        <f>'Income Statement'!C12</f>
        <v>107006</v>
      </c>
      <c r="D12" s="40">
        <f>'Income Statement'!E12</f>
        <v>35355</v>
      </c>
      <c r="E12" s="41">
        <v>7361</v>
      </c>
      <c r="F12" s="40">
        <f>'Income Statement'!L12</f>
        <v>2233</v>
      </c>
      <c r="G12" s="40">
        <f>'Income Statement'!P12</f>
        <v>1568</v>
      </c>
      <c r="H12" s="40">
        <f>'Income Statement'!R12</f>
        <v>596</v>
      </c>
      <c r="I12" s="40">
        <f>'Balance Sheet'!D12</f>
        <v>19808</v>
      </c>
      <c r="J12" s="40">
        <f>'Balance Sheet'!I12</f>
        <v>35705</v>
      </c>
      <c r="K12" s="40">
        <f>'Balance Sheet'!R12</f>
        <v>64747</v>
      </c>
      <c r="L12" s="40">
        <f>'Balance Sheet'!X12</f>
        <v>33887</v>
      </c>
      <c r="M12" s="40">
        <f>'Balance Sheet'!AL12</f>
        <v>13384</v>
      </c>
      <c r="N12" s="41">
        <v>459</v>
      </c>
      <c r="O12" s="40">
        <v>6517</v>
      </c>
      <c r="P12" s="40">
        <f>7239+1835</f>
        <v>9074</v>
      </c>
      <c r="Q12" s="40">
        <v>8562</v>
      </c>
      <c r="R12" s="40">
        <f t="shared" si="17"/>
        <v>24153</v>
      </c>
      <c r="S12" s="41">
        <v>6281</v>
      </c>
      <c r="T12" s="42">
        <f>-'Cash Flow'!F12</f>
        <v>4589</v>
      </c>
      <c r="U12" s="5">
        <f t="shared" si="0"/>
        <v>0.20247673843664316</v>
      </c>
      <c r="V12" s="5">
        <f t="shared" si="1"/>
        <v>0.33040203353083003</v>
      </c>
      <c r="W12" s="5">
        <f t="shared" si="2"/>
        <v>6.8790535110180739E-2</v>
      </c>
      <c r="X12" s="5">
        <f t="shared" si="3"/>
        <v>2.0867988710913405E-2</v>
      </c>
      <c r="Y12" s="5">
        <f t="shared" si="4"/>
        <v>1.4653383922396875E-2</v>
      </c>
      <c r="Z12" s="5">
        <f t="shared" si="5"/>
        <v>0.61989795918367352</v>
      </c>
      <c r="AA12" s="5">
        <f t="shared" si="6"/>
        <v>5.5697811337681999E-3</v>
      </c>
      <c r="AB12" s="5">
        <f t="shared" si="7"/>
        <v>4.4530783024506873E-2</v>
      </c>
      <c r="AC12" s="5">
        <f t="shared" si="8"/>
        <v>0.39699151409862349</v>
      </c>
      <c r="AD12" s="5">
        <f t="shared" si="9"/>
        <v>9.2050596938854316E-3</v>
      </c>
      <c r="AE12" s="3">
        <f>(I12+'Balance Sheet'!E12)/L12</f>
        <v>0.75137958509162805</v>
      </c>
      <c r="AF12" s="3">
        <f t="shared" si="10"/>
        <v>1.0536488919054505</v>
      </c>
      <c r="AG12" s="2">
        <f t="shared" si="11"/>
        <v>-11246</v>
      </c>
      <c r="AH12" s="3">
        <f t="shared" si="12"/>
        <v>0.6397190675433353</v>
      </c>
      <c r="AI12" s="3">
        <f t="shared" si="13"/>
        <v>0.39013943315410554</v>
      </c>
      <c r="AJ12" s="3">
        <f t="shared" si="14"/>
        <v>0.13223778707893802</v>
      </c>
      <c r="AK12" s="3">
        <f t="shared" si="15"/>
        <v>4.8649237472766886</v>
      </c>
      <c r="AL12" s="3">
        <f t="shared" si="16"/>
        <v>4.8376419605499104</v>
      </c>
      <c r="AM12" s="5">
        <f t="shared" si="18"/>
        <v>4.2885445675943407E-2</v>
      </c>
      <c r="AN12" s="5">
        <f>'Balance Sheet'!J12/Ratios!K12</f>
        <v>0.46416050164486383</v>
      </c>
      <c r="AO12" s="5">
        <f>'Cash Flow'!E12/C12</f>
        <v>0.111395622675364</v>
      </c>
      <c r="AP12" s="5">
        <f>('Cash Flow'!E12+'Cash Flow'!F12)/Ratios!C12</f>
        <v>6.8510176999420594E-2</v>
      </c>
      <c r="AQ12">
        <v>1.42</v>
      </c>
    </row>
    <row r="13" spans="1:43" x14ac:dyDescent="0.35">
      <c r="A13" t="s">
        <v>17</v>
      </c>
      <c r="B13" s="1">
        <v>42004</v>
      </c>
      <c r="C13" s="40">
        <f>'Income Statement'!C13</f>
        <v>88988</v>
      </c>
      <c r="D13" s="40">
        <f>'Income Statement'!E13</f>
        <v>26236</v>
      </c>
      <c r="E13" s="41">
        <v>3959</v>
      </c>
      <c r="F13" s="40">
        <f>'Income Statement'!L13</f>
        <v>178</v>
      </c>
      <c r="G13" s="40">
        <f>'Income Statement'!P13</f>
        <v>-111</v>
      </c>
      <c r="H13" s="40">
        <f>'Income Statement'!R13</f>
        <v>-241</v>
      </c>
      <c r="I13" s="40">
        <f>'Balance Sheet'!D13</f>
        <v>17416</v>
      </c>
      <c r="J13" s="40">
        <f>'Balance Sheet'!I13</f>
        <v>31327</v>
      </c>
      <c r="K13" s="40">
        <f>'Balance Sheet'!R13</f>
        <v>54505</v>
      </c>
      <c r="L13" s="40">
        <f>'Balance Sheet'!X13</f>
        <v>28089</v>
      </c>
      <c r="M13" s="40">
        <f>'Balance Sheet'!AL13</f>
        <v>10741</v>
      </c>
      <c r="N13" s="41">
        <v>210</v>
      </c>
      <c r="O13" s="40">
        <v>5913</v>
      </c>
      <c r="P13" s="40">
        <f>5039+1265</f>
        <v>6304</v>
      </c>
      <c r="Q13" s="40">
        <v>9881</v>
      </c>
      <c r="R13" s="40">
        <f t="shared" si="17"/>
        <v>22098</v>
      </c>
      <c r="S13" s="41">
        <v>4746</v>
      </c>
      <c r="T13" s="42">
        <f>-'Cash Flow'!F13</f>
        <v>4893</v>
      </c>
      <c r="U13" s="5">
        <f t="shared" si="0"/>
        <v>0.19523988610111212</v>
      </c>
      <c r="V13" s="5">
        <f t="shared" si="1"/>
        <v>0.29482626871038792</v>
      </c>
      <c r="W13" s="5">
        <f t="shared" si="2"/>
        <v>4.4489144603766802E-2</v>
      </c>
      <c r="X13" s="5">
        <f t="shared" si="3"/>
        <v>2.000269699285297E-3</v>
      </c>
      <c r="Y13" s="5">
        <f t="shared" si="4"/>
        <v>-1.2473591944981346E-3</v>
      </c>
      <c r="Z13" s="5">
        <f t="shared" si="5"/>
        <v>-1.1711711711711712</v>
      </c>
      <c r="AA13" s="5">
        <f t="shared" si="6"/>
        <v>-2.7082303231896437E-3</v>
      </c>
      <c r="AB13" s="5">
        <f t="shared" si="7"/>
        <v>-2.2437389442323805E-2</v>
      </c>
      <c r="AC13" s="5">
        <f t="shared" si="8"/>
        <v>0.120545373820483</v>
      </c>
      <c r="AD13" s="5">
        <f t="shared" si="9"/>
        <v>-4.4216126960829284E-3</v>
      </c>
      <c r="AE13" s="3">
        <f>(I13+'Balance Sheet'!E13)/L13</f>
        <v>0.81982270639752219</v>
      </c>
      <c r="AF13" s="3">
        <f t="shared" si="10"/>
        <v>1.1152764427355903</v>
      </c>
      <c r="AG13" s="2">
        <f t="shared" si="11"/>
        <v>-7535</v>
      </c>
      <c r="AH13" s="3">
        <f t="shared" si="12"/>
        <v>0.91993296713527606</v>
      </c>
      <c r="AI13" s="3">
        <f t="shared" si="13"/>
        <v>0.479148482203472</v>
      </c>
      <c r="AJ13" s="3">
        <f t="shared" si="14"/>
        <v>0.18128612053940005</v>
      </c>
      <c r="AK13" s="3">
        <f t="shared" si="15"/>
        <v>0.84761904761904761</v>
      </c>
      <c r="AL13" s="3">
        <f t="shared" si="16"/>
        <v>5.0744809608043946</v>
      </c>
      <c r="AM13" s="5">
        <f t="shared" si="18"/>
        <v>5.4984941789904256E-2</v>
      </c>
      <c r="AN13" s="5">
        <f>'Balance Sheet'!J13/Ratios!K13</f>
        <v>0.4170259609210164</v>
      </c>
      <c r="AO13" s="5">
        <f>'Cash Flow'!E13/C13</f>
        <v>7.6886771250056191E-2</v>
      </c>
      <c r="AP13" s="5">
        <f>('Cash Flow'!E13+'Cash Flow'!F13)/Ratios!C13</f>
        <v>2.1901829460151932E-2</v>
      </c>
      <c r="AQ13">
        <v>1.1499999999999999</v>
      </c>
    </row>
    <row r="14" spans="1:43" x14ac:dyDescent="0.35">
      <c r="A14" t="s">
        <v>17</v>
      </c>
      <c r="B14" s="1">
        <v>41639</v>
      </c>
      <c r="C14" s="40">
        <f>'Income Statement'!C14</f>
        <v>74452</v>
      </c>
      <c r="D14" s="40">
        <f>'Income Statement'!E14</f>
        <v>20271</v>
      </c>
      <c r="E14" s="41">
        <v>3413</v>
      </c>
      <c r="F14" s="40">
        <f>'Income Statement'!L14</f>
        <v>745</v>
      </c>
      <c r="G14" s="40">
        <f>'Income Statement'!P14</f>
        <v>506</v>
      </c>
      <c r="H14" s="40">
        <f>'Income Statement'!R14</f>
        <v>274</v>
      </c>
      <c r="I14" s="40">
        <f>'Balance Sheet'!D14</f>
        <v>12447</v>
      </c>
      <c r="J14" s="40">
        <f>'Balance Sheet'!I14</f>
        <v>24625</v>
      </c>
      <c r="K14" s="40">
        <f>'Balance Sheet'!R14</f>
        <v>40159</v>
      </c>
      <c r="L14" s="40">
        <f>'Balance Sheet'!X14</f>
        <v>22980</v>
      </c>
      <c r="M14" s="40">
        <f>'Balance Sheet'!AL14</f>
        <v>9746</v>
      </c>
      <c r="N14" s="41">
        <v>141</v>
      </c>
      <c r="O14" s="40">
        <v>5135</v>
      </c>
      <c r="P14" s="40">
        <f>2390+583</f>
        <v>2973</v>
      </c>
      <c r="Q14" s="40">
        <v>3967</v>
      </c>
      <c r="R14" s="40">
        <v>3967</v>
      </c>
      <c r="S14" s="41">
        <v>3253</v>
      </c>
      <c r="T14" s="42">
        <f>-'Cash Flow'!F14</f>
        <v>3444</v>
      </c>
      <c r="U14" s="5">
        <f t="shared" si="0"/>
        <v>0.21866662301736697</v>
      </c>
      <c r="V14" s="5">
        <f t="shared" si="1"/>
        <v>0.27226938161500025</v>
      </c>
      <c r="W14" s="5">
        <f t="shared" si="2"/>
        <v>4.5841616074786443E-2</v>
      </c>
      <c r="X14" s="5">
        <f t="shared" si="3"/>
        <v>1.0006447106860796E-2</v>
      </c>
      <c r="Y14" s="5">
        <f t="shared" si="4"/>
        <v>6.7963251490893465E-3</v>
      </c>
      <c r="Z14" s="5">
        <f t="shared" si="5"/>
        <v>0.45849802371541504</v>
      </c>
      <c r="AA14" s="5">
        <f t="shared" si="6"/>
        <v>3.6802234997045076E-3</v>
      </c>
      <c r="AB14" s="5">
        <f t="shared" si="7"/>
        <v>2.8114098091524729E-2</v>
      </c>
      <c r="AC14" s="5">
        <f t="shared" si="8"/>
        <v>0.31865637624961757</v>
      </c>
      <c r="AD14" s="5">
        <f t="shared" si="9"/>
        <v>6.8228790557533807E-3</v>
      </c>
      <c r="AE14" s="3">
        <f>(I14+'Balance Sheet'!E14)/L14</f>
        <v>0.74908616187989552</v>
      </c>
      <c r="AF14" s="3">
        <f t="shared" si="10"/>
        <v>1.0715839860748477</v>
      </c>
      <c r="AG14" s="2">
        <f t="shared" si="11"/>
        <v>-8480</v>
      </c>
      <c r="AH14" s="3">
        <f t="shared" si="12"/>
        <v>0.40703878514262259</v>
      </c>
      <c r="AI14" s="3">
        <f t="shared" si="13"/>
        <v>0.28928753737329543</v>
      </c>
      <c r="AJ14" s="3">
        <f t="shared" si="14"/>
        <v>9.8782340197714091E-2</v>
      </c>
      <c r="AK14" s="3">
        <f t="shared" si="15"/>
        <v>5.2836879432624118</v>
      </c>
      <c r="AL14" s="3">
        <f t="shared" si="16"/>
        <v>4.1205622819618304</v>
      </c>
      <c r="AM14" s="5">
        <f t="shared" si="18"/>
        <v>4.6257991726212859E-2</v>
      </c>
      <c r="AN14" s="5">
        <f>'Balance Sheet'!J14/Ratios!K14</f>
        <v>0.36875918225055404</v>
      </c>
      <c r="AO14" s="5">
        <f>'Cash Flow'!E14/C14</f>
        <v>7.3537312630956864E-2</v>
      </c>
      <c r="AP14" s="5">
        <f>('Cash Flow'!E14+'Cash Flow'!F14)/Ratios!C14</f>
        <v>2.7279320904743998E-2</v>
      </c>
      <c r="AQ14">
        <v>1.06</v>
      </c>
    </row>
    <row r="15" spans="1:43" x14ac:dyDescent="0.35">
      <c r="A15" t="s">
        <v>17</v>
      </c>
      <c r="B15" s="1">
        <v>41274</v>
      </c>
      <c r="C15" s="40">
        <f>'Income Statement'!C15</f>
        <v>61093</v>
      </c>
      <c r="D15" s="40">
        <f>'Income Statement'!E15</f>
        <v>15122</v>
      </c>
      <c r="E15" s="41">
        <v>2539</v>
      </c>
      <c r="F15" s="40">
        <f>'Income Statement'!L15</f>
        <v>676</v>
      </c>
      <c r="G15" s="40">
        <f>'Income Statement'!P15</f>
        <v>544</v>
      </c>
      <c r="H15" s="40">
        <f>'Income Statement'!R15</f>
        <v>-39</v>
      </c>
      <c r="I15" s="40">
        <f>'Balance Sheet'!D15</f>
        <v>11448</v>
      </c>
      <c r="J15" s="40">
        <f>'Balance Sheet'!I15</f>
        <v>21296</v>
      </c>
      <c r="K15" s="40">
        <f>'Balance Sheet'!R15</f>
        <v>32555</v>
      </c>
      <c r="L15" s="40">
        <f>'Balance Sheet'!X15</f>
        <v>19002</v>
      </c>
      <c r="M15" s="40">
        <f>'Balance Sheet'!AL15</f>
        <v>8192</v>
      </c>
      <c r="N15" s="41">
        <v>92</v>
      </c>
      <c r="O15" s="40">
        <v>5454</v>
      </c>
      <c r="P15" s="40">
        <v>1292</v>
      </c>
      <c r="Q15" s="40">
        <v>3691</v>
      </c>
      <c r="R15" s="40">
        <f t="shared" si="17"/>
        <v>10437</v>
      </c>
      <c r="S15" s="41">
        <v>2159</v>
      </c>
      <c r="T15" s="42">
        <f>-'Cash Flow'!F15</f>
        <v>3785</v>
      </c>
      <c r="U15" s="5">
        <f t="shared" si="0"/>
        <v>0.27073236682821306</v>
      </c>
      <c r="V15" s="5">
        <f t="shared" si="1"/>
        <v>0.24752426628255284</v>
      </c>
      <c r="W15" s="5">
        <f t="shared" si="2"/>
        <v>4.1559589478336309E-2</v>
      </c>
      <c r="X15" s="5">
        <f t="shared" si="3"/>
        <v>1.1065097474342396E-2</v>
      </c>
      <c r="Y15" s="5">
        <f t="shared" si="4"/>
        <v>8.9044571391157738E-3</v>
      </c>
      <c r="Z15" s="5">
        <f t="shared" si="5"/>
        <v>1.0716911764705883</v>
      </c>
      <c r="AA15" s="5">
        <f t="shared" si="6"/>
        <v>-6.3837100813513828E-4</v>
      </c>
      <c r="AB15" s="5">
        <f t="shared" si="7"/>
        <v>-4.7607421875E-3</v>
      </c>
      <c r="AC15" s="5">
        <f t="shared" si="8"/>
        <v>-0.11140973630831656</v>
      </c>
      <c r="AD15" s="5">
        <f t="shared" si="9"/>
        <v>-1.1979726616495163E-3</v>
      </c>
      <c r="AE15" s="3">
        <f>(I15+'Balance Sheet'!E15)/L15</f>
        <v>0.77949689506367748</v>
      </c>
      <c r="AF15" s="3">
        <f t="shared" si="10"/>
        <v>1.1207241343016525</v>
      </c>
      <c r="AG15" s="2">
        <f t="shared" si="11"/>
        <v>-7757</v>
      </c>
      <c r="AH15" s="3">
        <f t="shared" si="12"/>
        <v>0.4505615234375</v>
      </c>
      <c r="AI15" s="3">
        <f t="shared" si="13"/>
        <v>0.31061179836741565</v>
      </c>
      <c r="AJ15" s="3">
        <f t="shared" si="14"/>
        <v>0.1133773613884196</v>
      </c>
      <c r="AK15" s="3">
        <f t="shared" si="15"/>
        <v>7.3478260869565215</v>
      </c>
      <c r="AL15" s="3">
        <f t="shared" si="16"/>
        <v>3.9739990234375</v>
      </c>
      <c r="AM15" s="5">
        <f t="shared" si="18"/>
        <v>6.1954724763884569E-2</v>
      </c>
      <c r="AN15" s="5">
        <f>'Balance Sheet'!J15/Ratios!K15</f>
        <v>0.29433266779296574</v>
      </c>
      <c r="AO15" s="5">
        <f>'Cash Flow'!E15/C15</f>
        <v>6.8420277282176353E-2</v>
      </c>
      <c r="AP15" s="5">
        <f>('Cash Flow'!E15+'Cash Flow'!F15)/Ratios!C15</f>
        <v>6.4655525182917848E-3</v>
      </c>
      <c r="AQ15">
        <v>0.9</v>
      </c>
    </row>
    <row r="16" spans="1:43" x14ac:dyDescent="0.35">
      <c r="A16" t="s">
        <v>17</v>
      </c>
      <c r="B16" s="1">
        <v>40908</v>
      </c>
      <c r="C16" s="40">
        <f>'Income Statement'!C16</f>
        <v>48077</v>
      </c>
      <c r="D16" s="40">
        <f>'Income Statement'!E16</f>
        <v>10789</v>
      </c>
      <c r="E16" s="41">
        <v>2011</v>
      </c>
      <c r="F16" s="40">
        <f>'Income Statement'!L16</f>
        <v>862</v>
      </c>
      <c r="G16" s="40">
        <f>'Income Statement'!P16</f>
        <v>934</v>
      </c>
      <c r="H16" s="40">
        <f>'Income Statement'!R16</f>
        <v>631</v>
      </c>
      <c r="I16" s="40">
        <f>'Balance Sheet'!D16</f>
        <v>9576</v>
      </c>
      <c r="J16" s="40">
        <f>'Balance Sheet'!I16</f>
        <v>17490</v>
      </c>
      <c r="K16" s="40">
        <f>'Balance Sheet'!R16</f>
        <v>25278</v>
      </c>
      <c r="L16" s="40">
        <f>'Balance Sheet'!X16</f>
        <v>14896</v>
      </c>
      <c r="M16" s="40">
        <f>'Balance Sheet'!AL16</f>
        <v>7757</v>
      </c>
      <c r="N16" s="41">
        <v>65</v>
      </c>
      <c r="O16" s="40">
        <v>3093</v>
      </c>
      <c r="P16" s="40">
        <f>975+580</f>
        <v>1555</v>
      </c>
      <c r="Q16" s="40">
        <v>384</v>
      </c>
      <c r="R16" s="40">
        <f t="shared" si="17"/>
        <v>5032</v>
      </c>
      <c r="S16" s="41">
        <v>1083</v>
      </c>
      <c r="T16" s="42">
        <f>-'Cash Flow'!F16</f>
        <v>1811</v>
      </c>
      <c r="U16" s="5">
        <f t="shared" si="0"/>
        <v>0.40559583674424043</v>
      </c>
      <c r="V16" s="5">
        <f t="shared" si="1"/>
        <v>0.22441084094265448</v>
      </c>
      <c r="W16" s="5">
        <f t="shared" si="2"/>
        <v>4.1828733074027083E-2</v>
      </c>
      <c r="X16" s="5">
        <f t="shared" si="3"/>
        <v>1.79295713126859E-2</v>
      </c>
      <c r="Y16" s="5">
        <f t="shared" si="4"/>
        <v>1.9427168916529732E-2</v>
      </c>
      <c r="Z16" s="5">
        <f t="shared" si="5"/>
        <v>0.32441113490364026</v>
      </c>
      <c r="AA16" s="5">
        <f t="shared" si="6"/>
        <v>1.3124779000353599E-2</v>
      </c>
      <c r="AB16" s="5">
        <f t="shared" si="7"/>
        <v>8.1345881139615828E-2</v>
      </c>
      <c r="AC16" s="5">
        <f t="shared" si="8"/>
        <v>-0.40582411269202934</v>
      </c>
      <c r="AD16" s="5">
        <f t="shared" si="9"/>
        <v>2.4962417912809558E-2</v>
      </c>
      <c r="AE16" s="3">
        <f>(I16+'Balance Sheet'!E16)/L16</f>
        <v>0.81545381310418907</v>
      </c>
      <c r="AF16" s="3">
        <f t="shared" si="10"/>
        <v>1.174140708915145</v>
      </c>
      <c r="AG16" s="2">
        <f t="shared" si="11"/>
        <v>-9192</v>
      </c>
      <c r="AH16" s="3">
        <f t="shared" si="12"/>
        <v>4.9503674100812169E-2</v>
      </c>
      <c r="AI16" s="3">
        <f t="shared" si="13"/>
        <v>4.716865249969291E-2</v>
      </c>
      <c r="AJ16" s="3">
        <f t="shared" si="14"/>
        <v>1.5191075243294565E-2</v>
      </c>
      <c r="AK16" s="3">
        <f t="shared" si="15"/>
        <v>13.261538461538462</v>
      </c>
      <c r="AL16" s="3">
        <f t="shared" si="16"/>
        <v>3.2587340466675263</v>
      </c>
      <c r="AM16" s="5">
        <f t="shared" si="18"/>
        <v>3.7668739730016429E-2</v>
      </c>
      <c r="AN16" s="5">
        <f>'Balance Sheet'!J16/Ratios!K16</f>
        <v>0.22889469103568319</v>
      </c>
      <c r="AO16" s="5">
        <f>'Cash Flow'!E16/C16</f>
        <v>8.1182270108367829E-2</v>
      </c>
      <c r="AP16" s="5">
        <f>('Cash Flow'!E16+'Cash Flow'!F16)/Ratios!C16</f>
        <v>4.3513530378351394E-2</v>
      </c>
      <c r="AQ16">
        <v>0.85</v>
      </c>
    </row>
    <row r="17" spans="1:43" x14ac:dyDescent="0.35">
      <c r="A17" t="s">
        <v>17</v>
      </c>
      <c r="B17" s="1">
        <v>40543</v>
      </c>
      <c r="C17" s="40">
        <f>'Income Statement'!C17</f>
        <v>34204</v>
      </c>
      <c r="D17" s="40">
        <f>'Income Statement'!E17</f>
        <v>7643</v>
      </c>
      <c r="E17" s="41">
        <v>2063</v>
      </c>
      <c r="F17" s="40">
        <f>'Income Statement'!L17</f>
        <v>1406</v>
      </c>
      <c r="G17" s="40">
        <f>'Income Statement'!P17</f>
        <v>1497</v>
      </c>
      <c r="H17" s="40">
        <f>'Income Statement'!R17</f>
        <v>1152</v>
      </c>
      <c r="I17" s="40">
        <f>'Balance Sheet'!D17</f>
        <v>8762</v>
      </c>
      <c r="J17" s="40">
        <f>'Balance Sheet'!I17</f>
        <v>13747</v>
      </c>
      <c r="K17" s="40">
        <f>'Balance Sheet'!R17</f>
        <v>18797</v>
      </c>
      <c r="L17" s="40">
        <f>'Balance Sheet'!X17</f>
        <v>10372</v>
      </c>
      <c r="M17" s="40">
        <f>'Balance Sheet'!AL17</f>
        <v>6864</v>
      </c>
      <c r="N17" s="41">
        <v>39</v>
      </c>
      <c r="O17" s="40">
        <v>1553</v>
      </c>
      <c r="P17" s="40">
        <f>494+187</f>
        <v>681</v>
      </c>
      <c r="Q17" s="40">
        <v>184</v>
      </c>
      <c r="R17" s="40">
        <f t="shared" si="17"/>
        <v>2418</v>
      </c>
      <c r="S17" s="41">
        <v>568</v>
      </c>
      <c r="T17" s="42">
        <f>-'Cash Flow'!F17</f>
        <v>979</v>
      </c>
      <c r="U17" s="5">
        <f t="shared" si="0"/>
        <v>0.3955689746623689</v>
      </c>
      <c r="V17" s="5">
        <f t="shared" si="1"/>
        <v>0.22345339726347796</v>
      </c>
      <c r="W17" s="5">
        <f t="shared" si="2"/>
        <v>6.0314583089697109E-2</v>
      </c>
      <c r="X17" s="5">
        <f t="shared" si="3"/>
        <v>4.1106303356332592E-2</v>
      </c>
      <c r="Y17" s="5">
        <f t="shared" si="4"/>
        <v>4.3766810899310025E-2</v>
      </c>
      <c r="Z17" s="5">
        <f t="shared" si="5"/>
        <v>0.23046092184368738</v>
      </c>
      <c r="AA17" s="5">
        <f t="shared" si="6"/>
        <v>3.3680271313296692E-2</v>
      </c>
      <c r="AB17" s="5">
        <f t="shared" si="7"/>
        <v>0.16783216783216784</v>
      </c>
      <c r="AC17" s="5">
        <f t="shared" si="8"/>
        <v>-0.63125550985284451</v>
      </c>
      <c r="AD17" s="5">
        <f t="shared" si="9"/>
        <v>6.1286375485449802E-2</v>
      </c>
      <c r="AE17" s="3">
        <f>(I17+'Balance Sheet'!E17)/L17</f>
        <v>0.99778249132279218</v>
      </c>
      <c r="AF17" s="3">
        <f t="shared" si="10"/>
        <v>1.3253952950250676</v>
      </c>
      <c r="AG17" s="2">
        <f t="shared" si="11"/>
        <v>-8578</v>
      </c>
      <c r="AH17" s="3">
        <f t="shared" si="12"/>
        <v>2.6806526806526808E-2</v>
      </c>
      <c r="AI17" s="3">
        <f t="shared" si="13"/>
        <v>2.6106696935300794E-2</v>
      </c>
      <c r="AJ17" s="3">
        <f t="shared" si="14"/>
        <v>9.7887960844815665E-3</v>
      </c>
      <c r="AK17" s="3">
        <f t="shared" si="15"/>
        <v>36.051282051282051</v>
      </c>
      <c r="AL17" s="3">
        <f t="shared" si="16"/>
        <v>2.738490675990676</v>
      </c>
      <c r="AM17" s="5">
        <f t="shared" si="18"/>
        <v>2.8622383346976962E-2</v>
      </c>
      <c r="AN17" s="5">
        <f>'Balance Sheet'!J17/Ratios!K17</f>
        <v>0.17321913071234771</v>
      </c>
      <c r="AO17" s="5">
        <f>'Cash Flow'!E17/C17</f>
        <v>0.10218103145830897</v>
      </c>
      <c r="AP17" s="5">
        <f>('Cash Flow'!E17+'Cash Flow'!F17)/Ratios!C17</f>
        <v>7.3558648111332003E-2</v>
      </c>
      <c r="AQ17">
        <v>0.76</v>
      </c>
    </row>
    <row r="18" spans="1:43" x14ac:dyDescent="0.35">
      <c r="A18" t="s">
        <v>17</v>
      </c>
      <c r="B18" s="1">
        <v>40178</v>
      </c>
      <c r="C18" s="41">
        <v>24509</v>
      </c>
      <c r="D18" s="40">
        <f>'Income Statement'!E18</f>
        <v>5531</v>
      </c>
      <c r="E18" s="41">
        <v>1561</v>
      </c>
      <c r="F18" s="40">
        <f>'Income Statement'!L18</f>
        <v>1129</v>
      </c>
      <c r="G18" s="40">
        <f>'Income Statement'!P18</f>
        <v>1161</v>
      </c>
      <c r="H18" s="40">
        <f>'Income Statement'!R18</f>
        <v>902</v>
      </c>
      <c r="I18" s="40">
        <f>'Balance Sheet'!D18</f>
        <v>6366</v>
      </c>
      <c r="J18" s="40">
        <f>'Balance Sheet'!I18</f>
        <v>9797</v>
      </c>
      <c r="K18" s="40">
        <f>'Balance Sheet'!R18</f>
        <v>13813</v>
      </c>
      <c r="L18" s="40">
        <f>'Balance Sheet'!X18</f>
        <v>7364</v>
      </c>
      <c r="M18" s="40">
        <f>'Balance Sheet'!AL18</f>
        <v>5257</v>
      </c>
      <c r="N18" s="41">
        <v>34</v>
      </c>
      <c r="O18" s="40">
        <v>992</v>
      </c>
      <c r="P18" s="40">
        <v>262</v>
      </c>
      <c r="Q18" s="40">
        <v>131</v>
      </c>
      <c r="R18" s="40">
        <f t="shared" si="17"/>
        <v>1385</v>
      </c>
      <c r="S18" s="41">
        <v>378</v>
      </c>
      <c r="T18" s="42">
        <f>-'Cash Flow'!F18</f>
        <v>373</v>
      </c>
      <c r="U18" s="5">
        <f t="shared" si="0"/>
        <v>0.27877491391004905</v>
      </c>
      <c r="V18" s="5">
        <f t="shared" si="1"/>
        <v>0.22567220204822719</v>
      </c>
      <c r="W18" s="5">
        <f t="shared" si="2"/>
        <v>6.3690889061161202E-2</v>
      </c>
      <c r="X18" s="5">
        <f t="shared" si="3"/>
        <v>4.6064710922518258E-2</v>
      </c>
      <c r="Y18" s="5">
        <f t="shared" si="4"/>
        <v>4.7370353747602921E-2</v>
      </c>
      <c r="Z18" s="5">
        <f t="shared" si="5"/>
        <v>0.22308354866494401</v>
      </c>
      <c r="AA18" s="5">
        <f t="shared" si="6"/>
        <v>3.6802807132073935E-2</v>
      </c>
      <c r="AB18" s="5">
        <f t="shared" si="7"/>
        <v>0.17158074947688795</v>
      </c>
      <c r="AC18" s="5">
        <f t="shared" si="8"/>
        <v>-0.8968698093632701</v>
      </c>
      <c r="AD18" s="5">
        <f t="shared" si="9"/>
        <v>6.5300803590820244E-2</v>
      </c>
      <c r="AE18" s="3">
        <f>(I18+'Balance Sheet'!E18)/L18</f>
        <v>0.99864204236827814</v>
      </c>
      <c r="AF18" s="3">
        <f t="shared" si="10"/>
        <v>1.3303910917979358</v>
      </c>
      <c r="AG18" s="2">
        <f t="shared" si="11"/>
        <v>-6235</v>
      </c>
      <c r="AH18" s="3">
        <f t="shared" si="12"/>
        <v>2.4919155411831845E-2</v>
      </c>
      <c r="AI18" s="3">
        <f t="shared" si="13"/>
        <v>2.4313288789903489E-2</v>
      </c>
      <c r="AJ18" s="3">
        <f t="shared" si="14"/>
        <v>9.4838195902410775E-3</v>
      </c>
      <c r="AK18" s="3">
        <f t="shared" si="15"/>
        <v>33.205882352941174</v>
      </c>
      <c r="AL18" s="3">
        <f t="shared" si="16"/>
        <v>2.6275442267452922</v>
      </c>
      <c r="AM18" s="5">
        <f t="shared" si="18"/>
        <v>1.52188991798931E-2</v>
      </c>
      <c r="AN18" s="5">
        <f>'Balance Sheet'!J18/Ratios!K18</f>
        <v>0.1386375153840585</v>
      </c>
      <c r="AO18" s="5">
        <f>'Cash Flow'!E18/C18</f>
        <v>0.13435880696886857</v>
      </c>
      <c r="AP18" s="5">
        <f>('Cash Flow'!E18+'Cash Flow'!F18)/Ratios!C18</f>
        <v>0.11913990778897547</v>
      </c>
      <c r="AQ18">
        <v>0.59</v>
      </c>
    </row>
    <row r="19" spans="1:43" x14ac:dyDescent="0.35">
      <c r="A19" t="s">
        <v>17</v>
      </c>
      <c r="B19" s="1">
        <v>39813</v>
      </c>
      <c r="C19" s="40">
        <f>'Income Statement'!C19</f>
        <v>19166</v>
      </c>
      <c r="D19" s="40">
        <f>'Income Statement'!E19</f>
        <v>4270</v>
      </c>
      <c r="E19" s="41">
        <v>1182</v>
      </c>
      <c r="F19" s="40">
        <f>'Income Statement'!L19</f>
        <v>842</v>
      </c>
      <c r="G19" s="40">
        <f>'Income Statement'!P19</f>
        <v>901</v>
      </c>
      <c r="H19" s="40">
        <f>'Income Statement'!R19</f>
        <v>645</v>
      </c>
      <c r="I19" s="40">
        <f>'Balance Sheet'!D19</f>
        <v>3727</v>
      </c>
      <c r="J19" s="40">
        <f>'Balance Sheet'!I19</f>
        <v>6157</v>
      </c>
      <c r="K19" s="40">
        <f>'Balance Sheet'!R19</f>
        <v>8314</v>
      </c>
      <c r="L19" s="40">
        <f>'Balance Sheet'!X19</f>
        <v>4746</v>
      </c>
      <c r="M19" s="40">
        <f>'Balance Sheet'!AL19</f>
        <v>2672</v>
      </c>
      <c r="N19" s="41">
        <v>71</v>
      </c>
      <c r="O19" s="40">
        <v>816</v>
      </c>
      <c r="P19" s="40">
        <v>196</v>
      </c>
      <c r="Q19" s="40">
        <v>468</v>
      </c>
      <c r="R19" s="40">
        <f t="shared" si="17"/>
        <v>1480</v>
      </c>
      <c r="S19" s="41">
        <v>287</v>
      </c>
      <c r="T19" s="42">
        <f>-'Cash Flow'!F19</f>
        <v>333</v>
      </c>
      <c r="U19" s="5">
        <f t="shared" si="0"/>
        <v>0.29194472531176274</v>
      </c>
      <c r="V19" s="5">
        <f t="shared" si="1"/>
        <v>0.22279035792549307</v>
      </c>
      <c r="W19" s="5">
        <f t="shared" si="2"/>
        <v>6.1671710320358966E-2</v>
      </c>
      <c r="X19" s="5">
        <f t="shared" si="3"/>
        <v>4.3931962850881773E-2</v>
      </c>
      <c r="Y19" s="5">
        <f t="shared" si="4"/>
        <v>4.7010330794114576E-2</v>
      </c>
      <c r="Z19" s="5">
        <f t="shared" si="5"/>
        <v>0.28412874583795783</v>
      </c>
      <c r="AA19" s="5">
        <f t="shared" si="6"/>
        <v>3.3653344464155278E-2</v>
      </c>
      <c r="AB19" s="5">
        <f t="shared" si="7"/>
        <v>0.24139221556886228</v>
      </c>
      <c r="AC19" s="5">
        <f t="shared" si="8"/>
        <v>-1.0268545076736619</v>
      </c>
      <c r="AD19" s="5">
        <f t="shared" si="9"/>
        <v>7.7579985566514312E-2</v>
      </c>
      <c r="AE19" s="3">
        <f>(I19+'Balance Sheet'!E19)/L19</f>
        <v>0.95954487989886217</v>
      </c>
      <c r="AF19" s="3">
        <f t="shared" si="10"/>
        <v>1.2973029919932575</v>
      </c>
      <c r="AG19" s="2">
        <f t="shared" si="11"/>
        <v>-3259</v>
      </c>
      <c r="AH19" s="3">
        <f t="shared" si="12"/>
        <v>0.17514970059880239</v>
      </c>
      <c r="AI19" s="3">
        <f t="shared" si="13"/>
        <v>0.14904458598726114</v>
      </c>
      <c r="AJ19" s="3">
        <f t="shared" si="14"/>
        <v>5.6290594178494108E-2</v>
      </c>
      <c r="AK19" s="3">
        <f t="shared" si="15"/>
        <v>11.859154929577464</v>
      </c>
      <c r="AL19" s="3">
        <f t="shared" si="16"/>
        <v>3.1115269461077846</v>
      </c>
      <c r="AM19" s="5">
        <f t="shared" si="18"/>
        <v>1.7374517374517374E-2</v>
      </c>
      <c r="AN19" s="5">
        <f>'Balance Sheet'!J19/Ratios!K19</f>
        <v>0.16947317777243204</v>
      </c>
      <c r="AO19" s="5">
        <f>'Cash Flow'!E19/C19</f>
        <v>8.8542210163831792E-2</v>
      </c>
      <c r="AP19" s="5">
        <f>('Cash Flow'!E19+'Cash Flow'!F19)/Ratios!C19</f>
        <v>7.116769278931441E-2</v>
      </c>
      <c r="AQ19">
        <v>0.31</v>
      </c>
    </row>
    <row r="20" spans="1:43" x14ac:dyDescent="0.35">
      <c r="A20" t="s">
        <v>17</v>
      </c>
      <c r="B20" s="1">
        <v>39447</v>
      </c>
      <c r="C20" s="40">
        <f>'Income Statement'!C20</f>
        <v>14835</v>
      </c>
      <c r="D20" s="40">
        <f>'Income Statement'!E20</f>
        <v>3353</v>
      </c>
      <c r="E20" s="41">
        <v>926</v>
      </c>
      <c r="F20" s="40">
        <f>'Income Statement'!L20</f>
        <v>655</v>
      </c>
      <c r="G20" s="40">
        <f>'Income Statement'!P20</f>
        <v>660</v>
      </c>
      <c r="H20" s="40">
        <f>'Income Statement'!R20</f>
        <v>476</v>
      </c>
      <c r="I20" s="40">
        <f>'Balance Sheet'!D20</f>
        <v>3112</v>
      </c>
      <c r="J20" s="40">
        <f>'Balance Sheet'!I20</f>
        <v>5164</v>
      </c>
      <c r="K20" s="40">
        <f>'Balance Sheet'!R20</f>
        <v>6485</v>
      </c>
      <c r="L20" s="40">
        <f>'Balance Sheet'!X20</f>
        <v>3714</v>
      </c>
      <c r="M20" s="40">
        <f>'Balance Sheet'!AL20</f>
        <v>1197</v>
      </c>
      <c r="N20" s="41">
        <v>77</v>
      </c>
      <c r="O20" s="40">
        <v>650</v>
      </c>
      <c r="P20" s="40">
        <v>88</v>
      </c>
      <c r="Q20" s="40">
        <v>1299</v>
      </c>
      <c r="R20" s="40">
        <f t="shared" si="17"/>
        <v>2037</v>
      </c>
      <c r="S20" s="41">
        <v>246</v>
      </c>
      <c r="T20" s="42">
        <f>-'Cash Flow'!F20</f>
        <v>224</v>
      </c>
      <c r="U20" s="5">
        <f t="shared" si="0"/>
        <v>0.38502474092054895</v>
      </c>
      <c r="V20" s="5">
        <f t="shared" si="1"/>
        <v>0.22601954836535221</v>
      </c>
      <c r="W20" s="5">
        <f t="shared" si="2"/>
        <v>6.2419952814290532E-2</v>
      </c>
      <c r="X20" s="5">
        <f t="shared" si="3"/>
        <v>4.4152342433434445E-2</v>
      </c>
      <c r="Y20" s="5">
        <f t="shared" si="4"/>
        <v>4.4489383215369056E-2</v>
      </c>
      <c r="Z20" s="5">
        <f t="shared" si="5"/>
        <v>0.27878787878787881</v>
      </c>
      <c r="AA20" s="5">
        <f t="shared" si="6"/>
        <v>3.2086282440175258E-2</v>
      </c>
      <c r="AB20" s="5">
        <f t="shared" si="7"/>
        <v>0.39766081871345027</v>
      </c>
      <c r="AC20" s="5">
        <f t="shared" si="8"/>
        <v>-0.76687327823691454</v>
      </c>
      <c r="AD20" s="5">
        <f t="shared" si="9"/>
        <v>7.340015420200463E-2</v>
      </c>
      <c r="AE20" s="3">
        <f>(I20+'Balance Sheet'!E20)/L20</f>
        <v>1.0215401184706516</v>
      </c>
      <c r="AF20" s="3">
        <f t="shared" si="10"/>
        <v>1.3904146472805601</v>
      </c>
      <c r="AG20" s="2">
        <f t="shared" si="11"/>
        <v>-1813</v>
      </c>
      <c r="AH20" s="3">
        <f t="shared" si="12"/>
        <v>1.0852130325814537</v>
      </c>
      <c r="AI20" s="3">
        <f t="shared" si="13"/>
        <v>0.52043269230769229</v>
      </c>
      <c r="AJ20" s="3">
        <f t="shared" si="14"/>
        <v>0.20030840400925212</v>
      </c>
      <c r="AK20" s="3">
        <f t="shared" si="15"/>
        <v>8.5064935064935057</v>
      </c>
      <c r="AL20" s="3">
        <f t="shared" si="16"/>
        <v>5.4177109440267337</v>
      </c>
      <c r="AM20" s="5">
        <f t="shared" si="18"/>
        <v>1.5099427030670711E-2</v>
      </c>
      <c r="AN20" s="5">
        <f>'Balance Sheet'!J20/Ratios!K20</f>
        <v>0.15774865073245953</v>
      </c>
      <c r="AO20" s="5">
        <f>'Cash Flow'!E20/C20</f>
        <v>9.4708459723626556E-2</v>
      </c>
      <c r="AP20" s="5">
        <f>('Cash Flow'!E20+'Cash Flow'!F20)/Ratios!C20</f>
        <v>7.9609032692955842E-2</v>
      </c>
      <c r="AQ20">
        <v>0.14000000000000001</v>
      </c>
    </row>
    <row r="21" spans="1:43" x14ac:dyDescent="0.35">
      <c r="A21" s="7" t="s">
        <v>17</v>
      </c>
      <c r="B21" s="8">
        <v>39082</v>
      </c>
      <c r="C21" s="45">
        <f>'Income Statement'!C21</f>
        <v>10711</v>
      </c>
      <c r="D21" s="45">
        <f>'Income Statement'!E21</f>
        <v>2456</v>
      </c>
      <c r="E21" s="43">
        <v>599</v>
      </c>
      <c r="F21" s="45">
        <f>'Income Statement'!L21</f>
        <v>389</v>
      </c>
      <c r="G21" s="45">
        <f>'Income Statement'!P21</f>
        <v>377</v>
      </c>
      <c r="H21" s="45">
        <f>'Income Statement'!R21</f>
        <v>190</v>
      </c>
      <c r="I21" s="45">
        <f>'Balance Sheet'!D21</f>
        <v>2019</v>
      </c>
      <c r="J21" s="45">
        <f>'Balance Sheet'!I21</f>
        <v>3373</v>
      </c>
      <c r="K21" s="45">
        <f>'Balance Sheet'!R21</f>
        <v>4363</v>
      </c>
      <c r="L21" s="45">
        <f>'Balance Sheet'!X21</f>
        <v>2532</v>
      </c>
      <c r="M21" s="45">
        <f>'Balance Sheet'!AL21</f>
        <v>431</v>
      </c>
      <c r="N21" s="43">
        <v>78</v>
      </c>
      <c r="O21" s="45">
        <v>639</v>
      </c>
      <c r="P21" s="45">
        <v>55</v>
      </c>
      <c r="Q21" s="45">
        <v>1263</v>
      </c>
      <c r="R21" s="45">
        <f t="shared" si="17"/>
        <v>1957</v>
      </c>
      <c r="S21" s="43">
        <v>205</v>
      </c>
      <c r="T21" s="44">
        <f>-'Cash Flow'!F21</f>
        <v>216</v>
      </c>
      <c r="U21" s="49"/>
      <c r="V21" s="10">
        <f t="shared" si="1"/>
        <v>0.22929698440855195</v>
      </c>
      <c r="W21" s="10">
        <f t="shared" si="2"/>
        <v>5.5923816637102046E-2</v>
      </c>
      <c r="X21" s="10">
        <f t="shared" si="3"/>
        <v>3.6317804126598824E-2</v>
      </c>
      <c r="Y21" s="10">
        <f t="shared" si="4"/>
        <v>3.519746055457007E-2</v>
      </c>
      <c r="Z21" s="10">
        <f t="shared" si="5"/>
        <v>0.49602122015915118</v>
      </c>
      <c r="AA21" s="10">
        <f t="shared" si="6"/>
        <v>1.7738773223788629E-2</v>
      </c>
      <c r="AB21" s="10">
        <f t="shared" si="7"/>
        <v>0.44083526682134572</v>
      </c>
      <c r="AC21" s="10">
        <f t="shared" si="8"/>
        <v>-0.60322383187104678</v>
      </c>
      <c r="AD21" s="10">
        <f t="shared" si="9"/>
        <v>4.3548017419206969E-2</v>
      </c>
      <c r="AE21" s="50">
        <f>(I21+'Balance Sheet'!E21)/L21</f>
        <v>0.94826224328594</v>
      </c>
      <c r="AF21" s="50">
        <f t="shared" si="10"/>
        <v>1.3321484992101107</v>
      </c>
      <c r="AG21" s="9">
        <f t="shared" si="11"/>
        <v>-756</v>
      </c>
      <c r="AH21" s="50">
        <f t="shared" si="12"/>
        <v>2.9303944315545243</v>
      </c>
      <c r="AI21" s="50">
        <f t="shared" si="13"/>
        <v>0.74557260920897284</v>
      </c>
      <c r="AJ21" s="50">
        <f t="shared" si="14"/>
        <v>0.28947971579188631</v>
      </c>
      <c r="AK21" s="50">
        <f t="shared" si="15"/>
        <v>4.9871794871794872</v>
      </c>
      <c r="AL21" s="50">
        <f t="shared" si="16"/>
        <v>10.122969837587007</v>
      </c>
      <c r="AM21" s="10">
        <f t="shared" si="18"/>
        <v>2.0166184296517599E-2</v>
      </c>
      <c r="AN21" s="10">
        <f>'Balance Sheet'!J21/Ratios!K21</f>
        <v>0.18886087554435022</v>
      </c>
      <c r="AO21" s="10">
        <f>'Cash Flow'!E21/C21</f>
        <v>6.5540098963682195E-2</v>
      </c>
      <c r="AP21" s="10">
        <f>('Cash Flow'!E21+'Cash Flow'!F21)/Ratios!C21</f>
        <v>4.5373914667164596E-2</v>
      </c>
      <c r="AQ21" s="7">
        <v>0.05</v>
      </c>
    </row>
    <row r="22" spans="1:43" x14ac:dyDescent="0.35">
      <c r="A22" t="s">
        <v>58</v>
      </c>
      <c r="B22" s="1">
        <v>46022</v>
      </c>
      <c r="C22" s="40">
        <f>'Income Statement'!C22</f>
        <v>281724</v>
      </c>
      <c r="D22" s="40">
        <f>'Income Statement'!E22</f>
        <v>193893</v>
      </c>
      <c r="E22" s="41">
        <v>156528</v>
      </c>
      <c r="F22" s="40">
        <v>128528</v>
      </c>
      <c r="G22" s="40">
        <f>'Income Statement'!P22</f>
        <v>123627</v>
      </c>
      <c r="H22" s="40">
        <f>'Income Statement'!R22</f>
        <v>101832</v>
      </c>
      <c r="I22" s="40">
        <f>'Balance Sheet'!D22</f>
        <v>94565</v>
      </c>
      <c r="J22" s="40">
        <f>'Balance Sheet'!I22</f>
        <v>191131</v>
      </c>
      <c r="K22" s="40">
        <f>'Balance Sheet'!R22</f>
        <v>619003</v>
      </c>
      <c r="L22" s="40">
        <f>'Balance Sheet'!X22</f>
        <v>141218</v>
      </c>
      <c r="M22" s="40">
        <f>'Balance Sheet'!AL22</f>
        <v>343479</v>
      </c>
      <c r="N22" s="41">
        <v>2385</v>
      </c>
      <c r="O22" s="40">
        <v>22861</v>
      </c>
      <c r="P22" s="40">
        <v>46172</v>
      </c>
      <c r="Q22" s="40">
        <v>43151</v>
      </c>
      <c r="R22" s="40">
        <f t="shared" si="17"/>
        <v>112184</v>
      </c>
      <c r="S22" s="41">
        <v>34153</v>
      </c>
      <c r="T22" s="42">
        <f>-'Cash Flow'!F22</f>
        <v>64551</v>
      </c>
      <c r="U22" s="4">
        <f t="shared" ref="U22:U40" si="19">(C22-C23)/C23</f>
        <v>0.14932156232406721</v>
      </c>
      <c r="V22" s="5">
        <f t="shared" si="1"/>
        <v>0.68823742386165188</v>
      </c>
      <c r="W22" s="5">
        <f t="shared" si="2"/>
        <v>0.5556076159645611</v>
      </c>
      <c r="X22" s="5">
        <f t="shared" si="3"/>
        <v>0.45621956240859851</v>
      </c>
      <c r="Y22" s="5">
        <f t="shared" si="4"/>
        <v>0.43882310346296377</v>
      </c>
      <c r="Z22" s="5">
        <f t="shared" si="5"/>
        <v>0.17629644009803683</v>
      </c>
      <c r="AA22" s="5">
        <f t="shared" si="6"/>
        <v>0.36146015248967073</v>
      </c>
      <c r="AB22" s="5">
        <f t="shared" si="7"/>
        <v>0.29647227341409521</v>
      </c>
      <c r="AC22" s="5">
        <f t="shared" si="8"/>
        <v>0.36248427968801306</v>
      </c>
      <c r="AD22" s="5">
        <f t="shared" si="9"/>
        <v>0.16450970350709124</v>
      </c>
      <c r="AE22" s="3">
        <f>(I22+'Balance Sheet'!E22)/L22</f>
        <v>1.2227194833519806</v>
      </c>
      <c r="AF22" s="3">
        <f t="shared" si="10"/>
        <v>1.3534464445042416</v>
      </c>
      <c r="AG22" s="2">
        <f t="shared" si="11"/>
        <v>-51414</v>
      </c>
      <c r="AH22" s="3">
        <f t="shared" si="12"/>
        <v>0.12562922332951942</v>
      </c>
      <c r="AI22" s="3">
        <f t="shared" si="13"/>
        <v>0.11160799731008975</v>
      </c>
      <c r="AJ22" s="3">
        <f t="shared" si="14"/>
        <v>6.9710486055802642E-2</v>
      </c>
      <c r="AK22" s="3">
        <f t="shared" si="15"/>
        <v>53.89014675052411</v>
      </c>
      <c r="AL22" s="3">
        <f t="shared" si="16"/>
        <v>1.8021567548525528</v>
      </c>
      <c r="AM22" s="5">
        <f t="shared" si="18"/>
        <v>0.22912850875324786</v>
      </c>
      <c r="AN22" s="5">
        <f>'Balance Sheet'!J22/Ratios!K22</f>
        <v>0.52252089246740319</v>
      </c>
      <c r="AO22" s="5">
        <f>'Cash Flow'!E22/C22</f>
        <v>0.48331700529596344</v>
      </c>
      <c r="AP22" s="5">
        <f>('Cash Flow'!E22+'Cash Flow'!F22)/Ratios!C22</f>
        <v>0.25418849654271558</v>
      </c>
      <c r="AQ22">
        <v>46.2</v>
      </c>
    </row>
    <row r="23" spans="1:43" x14ac:dyDescent="0.35">
      <c r="A23" t="s">
        <v>58</v>
      </c>
      <c r="B23" s="1">
        <v>45657</v>
      </c>
      <c r="C23" s="40">
        <f>'Income Statement'!C23</f>
        <v>245122</v>
      </c>
      <c r="D23" s="40">
        <f>'Income Statement'!E23</f>
        <v>171008</v>
      </c>
      <c r="E23" s="41">
        <v>129433</v>
      </c>
      <c r="F23" s="40">
        <v>109433</v>
      </c>
      <c r="G23" s="40">
        <f>'Income Statement'!P23</f>
        <v>107787</v>
      </c>
      <c r="H23" s="40">
        <f>'Income Statement'!R23</f>
        <v>88136</v>
      </c>
      <c r="I23" s="40">
        <f>'Balance Sheet'!D23</f>
        <v>75543</v>
      </c>
      <c r="J23" s="40">
        <f>'Balance Sheet'!I23</f>
        <v>159734</v>
      </c>
      <c r="K23" s="40">
        <f>'Balance Sheet'!R23</f>
        <v>512163</v>
      </c>
      <c r="L23" s="40">
        <f>'Balance Sheet'!X23</f>
        <v>125286</v>
      </c>
      <c r="M23" s="40">
        <f>'Balance Sheet'!AL23</f>
        <v>268477</v>
      </c>
      <c r="N23" s="41">
        <v>2935</v>
      </c>
      <c r="O23" s="40">
        <v>19077</v>
      </c>
      <c r="P23" s="40">
        <v>27145</v>
      </c>
      <c r="Q23" s="40">
        <v>44937</v>
      </c>
      <c r="R23" s="40">
        <f t="shared" si="17"/>
        <v>91159</v>
      </c>
      <c r="S23" s="41">
        <v>22287</v>
      </c>
      <c r="T23" s="42">
        <f>-'Cash Flow'!F23</f>
        <v>44477</v>
      </c>
      <c r="U23" s="4">
        <f t="shared" si="19"/>
        <v>0.15669962013071279</v>
      </c>
      <c r="V23" s="5">
        <f t="shared" si="1"/>
        <v>0.69764443827971379</v>
      </c>
      <c r="W23" s="5">
        <f t="shared" si="2"/>
        <v>0.52803501929651353</v>
      </c>
      <c r="X23" s="5">
        <f t="shared" si="3"/>
        <v>0.44644299573273716</v>
      </c>
      <c r="Y23" s="5">
        <f t="shared" si="4"/>
        <v>0.43972797219343834</v>
      </c>
      <c r="Z23" s="5">
        <f t="shared" si="5"/>
        <v>0.18231326597827197</v>
      </c>
      <c r="AA23" s="5">
        <f t="shared" si="6"/>
        <v>0.35955972944084985</v>
      </c>
      <c r="AB23" s="5">
        <f t="shared" si="7"/>
        <v>0.32828137978299815</v>
      </c>
      <c r="AC23" s="5">
        <f t="shared" si="8"/>
        <v>0.37617831666827717</v>
      </c>
      <c r="AD23" s="5">
        <f t="shared" si="9"/>
        <v>0.17208583985957596</v>
      </c>
      <c r="AE23" s="3">
        <f>(I23+'Balance Sheet'!E23)/L23</f>
        <v>1.1411251057580256</v>
      </c>
      <c r="AF23" s="3">
        <f t="shared" si="10"/>
        <v>1.2749549031815206</v>
      </c>
      <c r="AG23" s="2">
        <f t="shared" si="11"/>
        <v>-30606</v>
      </c>
      <c r="AH23" s="3">
        <f t="shared" si="12"/>
        <v>0.16737746622615718</v>
      </c>
      <c r="AI23" s="3">
        <f t="shared" si="13"/>
        <v>0.14337904496927387</v>
      </c>
      <c r="AJ23" s="3">
        <f t="shared" si="14"/>
        <v>8.7739645386332082E-2</v>
      </c>
      <c r="AK23" s="3">
        <f t="shared" si="15"/>
        <v>37.285519591141394</v>
      </c>
      <c r="AL23" s="3">
        <f t="shared" si="16"/>
        <v>1.9076606189729475</v>
      </c>
      <c r="AM23" s="5">
        <f t="shared" si="18"/>
        <v>0.18144842160230415</v>
      </c>
      <c r="AN23" s="5">
        <f>'Balance Sheet'!J23/Ratios!K23</f>
        <v>0.4509755683249278</v>
      </c>
      <c r="AO23" s="5">
        <f>'Cash Flow'!E23/C23</f>
        <v>0.48362856047192826</v>
      </c>
      <c r="AP23" s="5">
        <f>('Cash Flow'!E23+'Cash Flow'!F23)/Ratios!C23</f>
        <v>0.30218013886962408</v>
      </c>
      <c r="AQ23">
        <v>36.11</v>
      </c>
    </row>
    <row r="24" spans="1:43" x14ac:dyDescent="0.35">
      <c r="A24" t="s">
        <v>58</v>
      </c>
      <c r="B24" s="1">
        <v>45291</v>
      </c>
      <c r="C24" s="40">
        <f>'Income Statement'!C24</f>
        <v>211915</v>
      </c>
      <c r="D24" s="40">
        <f>'Income Statement'!E24</f>
        <v>146052</v>
      </c>
      <c r="E24" s="41">
        <v>103555</v>
      </c>
      <c r="F24" s="40">
        <v>88523</v>
      </c>
      <c r="G24" s="40">
        <f>'Income Statement'!P24</f>
        <v>89311</v>
      </c>
      <c r="H24" s="40">
        <f>'Income Statement'!R24</f>
        <v>72361</v>
      </c>
      <c r="I24" s="40">
        <f>'Balance Sheet'!D24</f>
        <v>111262</v>
      </c>
      <c r="J24" s="40">
        <f>'Balance Sheet'!I24</f>
        <v>184257</v>
      </c>
      <c r="K24" s="40">
        <f>'Balance Sheet'!R24</f>
        <v>411976</v>
      </c>
      <c r="L24" s="40">
        <f>'Balance Sheet'!X24</f>
        <v>104149</v>
      </c>
      <c r="M24" s="40">
        <f>'Balance Sheet'!AL24</f>
        <v>206223</v>
      </c>
      <c r="N24" s="41">
        <v>1968</v>
      </c>
      <c r="O24" s="40">
        <v>15137</v>
      </c>
      <c r="P24" s="40">
        <v>17067</v>
      </c>
      <c r="Q24" s="40">
        <v>47237</v>
      </c>
      <c r="R24" s="40">
        <f t="shared" si="17"/>
        <v>79441</v>
      </c>
      <c r="S24" s="41">
        <v>13861</v>
      </c>
      <c r="T24" s="42">
        <f>-'Cash Flow'!F24</f>
        <v>28107</v>
      </c>
      <c r="U24" s="4">
        <f t="shared" si="19"/>
        <v>6.8820295556564284E-2</v>
      </c>
      <c r="V24" s="5">
        <f t="shared" si="1"/>
        <v>0.68920085883491022</v>
      </c>
      <c r="W24" s="5">
        <f t="shared" si="2"/>
        <v>0.48866290729773731</v>
      </c>
      <c r="X24" s="5">
        <f t="shared" si="3"/>
        <v>0.41772880636104098</v>
      </c>
      <c r="Y24" s="5">
        <f t="shared" si="4"/>
        <v>0.42144727838992047</v>
      </c>
      <c r="Z24" s="5">
        <f t="shared" si="5"/>
        <v>0.18978625253328257</v>
      </c>
      <c r="AA24" s="5">
        <f t="shared" si="6"/>
        <v>0.34146237878394642</v>
      </c>
      <c r="AB24" s="5">
        <f t="shared" si="7"/>
        <v>0.35088714643856406</v>
      </c>
      <c r="AC24" s="5">
        <f t="shared" si="8"/>
        <v>0.50438509379172869</v>
      </c>
      <c r="AD24" s="5">
        <f t="shared" si="9"/>
        <v>0.175643726819038</v>
      </c>
      <c r="AE24" s="3">
        <f>(I24+'Balance Sheet'!E24)/L24</f>
        <v>1.5357804683674352</v>
      </c>
      <c r="AF24" s="3">
        <f t="shared" si="10"/>
        <v>1.7691672507657299</v>
      </c>
      <c r="AG24" s="2">
        <f t="shared" si="11"/>
        <v>-64025</v>
      </c>
      <c r="AH24" s="3">
        <f t="shared" si="12"/>
        <v>0.2290578645446919</v>
      </c>
      <c r="AI24" s="3">
        <f t="shared" si="13"/>
        <v>0.18636865777637496</v>
      </c>
      <c r="AJ24" s="3">
        <f t="shared" si="14"/>
        <v>0.11465959182088277</v>
      </c>
      <c r="AK24" s="3">
        <f t="shared" si="15"/>
        <v>44.981199186991873</v>
      </c>
      <c r="AL24" s="3">
        <f t="shared" si="16"/>
        <v>1.9977209137681053</v>
      </c>
      <c r="AM24" s="5">
        <f t="shared" si="18"/>
        <v>0.13263336715192411</v>
      </c>
      <c r="AN24" s="5">
        <f>'Balance Sheet'!J24/Ratios!K24</f>
        <v>0.43264170728391943</v>
      </c>
      <c r="AO24" s="5">
        <f>'Cash Flow'!E24/C24</f>
        <v>0.4132883467427978</v>
      </c>
      <c r="AP24" s="5">
        <f>('Cash Flow'!E24+'Cash Flow'!F24)/Ratios!C24</f>
        <v>0.28065497959087371</v>
      </c>
      <c r="AQ24">
        <v>27.75</v>
      </c>
    </row>
    <row r="25" spans="1:43" x14ac:dyDescent="0.35">
      <c r="A25" t="s">
        <v>58</v>
      </c>
      <c r="B25" s="1">
        <v>44926</v>
      </c>
      <c r="C25" s="40">
        <f>'Income Statement'!C25</f>
        <v>198270</v>
      </c>
      <c r="D25" s="40">
        <f>'Income Statement'!E25</f>
        <v>135620</v>
      </c>
      <c r="E25" s="41">
        <v>97983</v>
      </c>
      <c r="F25" s="40">
        <v>83383</v>
      </c>
      <c r="G25" s="40">
        <f>'Income Statement'!P25</f>
        <v>83716</v>
      </c>
      <c r="H25" s="40">
        <f>'Income Statement'!R25</f>
        <v>72738</v>
      </c>
      <c r="I25" s="40">
        <f>'Balance Sheet'!D25</f>
        <v>104757</v>
      </c>
      <c r="J25" s="40">
        <f>'Balance Sheet'!I25</f>
        <v>169684</v>
      </c>
      <c r="K25" s="40">
        <f>'Balance Sheet'!R25</f>
        <v>364840</v>
      </c>
      <c r="L25" s="40">
        <f>'Balance Sheet'!X25</f>
        <v>95082</v>
      </c>
      <c r="M25" s="40">
        <f>'Balance Sheet'!AL25</f>
        <v>166542</v>
      </c>
      <c r="N25" s="41">
        <v>2063</v>
      </c>
      <c r="O25" s="40">
        <v>13717</v>
      </c>
      <c r="P25" s="40">
        <v>14902</v>
      </c>
      <c r="Q25" s="40">
        <v>49781</v>
      </c>
      <c r="R25" s="40">
        <f t="shared" si="17"/>
        <v>78400</v>
      </c>
      <c r="S25" s="41">
        <v>14460</v>
      </c>
      <c r="T25" s="42">
        <f>-'Cash Flow'!F25</f>
        <v>23886</v>
      </c>
      <c r="U25" s="4">
        <f t="shared" si="19"/>
        <v>0.17956070629670173</v>
      </c>
      <c r="V25" s="5">
        <f t="shared" si="1"/>
        <v>0.68401674484289099</v>
      </c>
      <c r="W25" s="5">
        <f t="shared" si="2"/>
        <v>0.49418974126191556</v>
      </c>
      <c r="X25" s="5">
        <f t="shared" si="3"/>
        <v>0.4205527815604983</v>
      </c>
      <c r="Y25" s="5">
        <f t="shared" si="4"/>
        <v>0.42223230947697582</v>
      </c>
      <c r="Z25" s="5">
        <f t="shared" si="5"/>
        <v>0.13113383343685794</v>
      </c>
      <c r="AA25" s="5">
        <f t="shared" si="6"/>
        <v>0.36686336813436221</v>
      </c>
      <c r="AB25" s="5">
        <f t="shared" si="7"/>
        <v>0.43675469250999749</v>
      </c>
      <c r="AC25" s="5">
        <f t="shared" si="8"/>
        <v>0.6493794486360942</v>
      </c>
      <c r="AD25" s="5">
        <f t="shared" si="9"/>
        <v>0.19936958666812848</v>
      </c>
      <c r="AE25" s="3">
        <f>(I25+'Balance Sheet'!E25)/L25</f>
        <v>1.567257735428367</v>
      </c>
      <c r="AF25" s="3">
        <f t="shared" si="10"/>
        <v>1.7846069708251824</v>
      </c>
      <c r="AG25" s="2">
        <f t="shared" si="11"/>
        <v>-54976</v>
      </c>
      <c r="AH25" s="3">
        <f t="shared" si="12"/>
        <v>0.29890958436910808</v>
      </c>
      <c r="AI25" s="3">
        <f t="shared" si="13"/>
        <v>0.23012347276988576</v>
      </c>
      <c r="AJ25" s="3">
        <f t="shared" si="14"/>
        <v>0.13644611336476264</v>
      </c>
      <c r="AK25" s="3">
        <f t="shared" si="15"/>
        <v>40.418322830828892</v>
      </c>
      <c r="AL25" s="3">
        <f t="shared" si="16"/>
        <v>2.1906786276134547</v>
      </c>
      <c r="AM25" s="5">
        <f t="shared" si="18"/>
        <v>0.12047208352246935</v>
      </c>
      <c r="AN25" s="5">
        <f>'Balance Sheet'!J25/Ratios!K25</f>
        <v>0.40348097796294263</v>
      </c>
      <c r="AO25" s="5">
        <f>'Cash Flow'!E25/C25</f>
        <v>0.44905936349422504</v>
      </c>
      <c r="AP25" s="5">
        <f>('Cash Flow'!E25+'Cash Flow'!F25)/Ratios!C25</f>
        <v>0.32858727997175569</v>
      </c>
      <c r="AQ25">
        <v>22.31</v>
      </c>
    </row>
    <row r="26" spans="1:43" x14ac:dyDescent="0.35">
      <c r="A26" t="s">
        <v>58</v>
      </c>
      <c r="B26" s="1">
        <v>44561</v>
      </c>
      <c r="C26" s="40">
        <f>'Income Statement'!C26</f>
        <v>168088</v>
      </c>
      <c r="D26" s="40">
        <f>'Income Statement'!E26</f>
        <v>115856</v>
      </c>
      <c r="E26" s="41">
        <v>81602</v>
      </c>
      <c r="F26" s="40">
        <v>69916</v>
      </c>
      <c r="G26" s="40">
        <f>'Income Statement'!P26</f>
        <v>71102</v>
      </c>
      <c r="H26" s="40">
        <f>'Income Statement'!R26</f>
        <v>61271</v>
      </c>
      <c r="I26" s="40">
        <f>'Balance Sheet'!D26</f>
        <v>130334</v>
      </c>
      <c r="J26" s="40">
        <f>'Balance Sheet'!I26</f>
        <v>184406</v>
      </c>
      <c r="K26" s="40">
        <f>'Balance Sheet'!R26</f>
        <v>333779</v>
      </c>
      <c r="L26" s="40">
        <f>'Balance Sheet'!X26</f>
        <v>88657</v>
      </c>
      <c r="M26" s="40">
        <f>'Balance Sheet'!AL26</f>
        <v>141988</v>
      </c>
      <c r="N26" s="41">
        <v>2346</v>
      </c>
      <c r="O26" s="40">
        <v>11591</v>
      </c>
      <c r="P26" s="40">
        <v>12541</v>
      </c>
      <c r="Q26" s="40">
        <v>58146</v>
      </c>
      <c r="R26" s="40">
        <f t="shared" si="17"/>
        <v>82278</v>
      </c>
      <c r="S26" s="41">
        <v>11686</v>
      </c>
      <c r="T26" s="42">
        <f>-'Cash Flow'!F26</f>
        <v>20622</v>
      </c>
      <c r="U26" s="4">
        <f t="shared" si="19"/>
        <v>0.175317274411775</v>
      </c>
      <c r="V26" s="5">
        <f t="shared" si="1"/>
        <v>0.68925800771024703</v>
      </c>
      <c r="W26" s="5">
        <f t="shared" si="2"/>
        <v>0.48547189567369475</v>
      </c>
      <c r="X26" s="5">
        <f t="shared" si="3"/>
        <v>0.41594878872971303</v>
      </c>
      <c r="Y26" s="5">
        <f t="shared" si="4"/>
        <v>0.4230046166293846</v>
      </c>
      <c r="Z26" s="5">
        <f t="shared" si="5"/>
        <v>0.13826615285083402</v>
      </c>
      <c r="AA26" s="5">
        <f t="shared" si="6"/>
        <v>0.36451739564989766</v>
      </c>
      <c r="AB26" s="5">
        <f t="shared" si="7"/>
        <v>0.43152238217314137</v>
      </c>
      <c r="AC26" s="5">
        <f t="shared" si="8"/>
        <v>0.86316595497537374</v>
      </c>
      <c r="AD26" s="5">
        <f t="shared" si="9"/>
        <v>0.18356757015869782</v>
      </c>
      <c r="AE26" s="3">
        <f>(I26+'Balance Sheet'!E26)/L26</f>
        <v>1.8991957769832049</v>
      </c>
      <c r="AF26" s="3">
        <f t="shared" si="10"/>
        <v>2.0799936835218875</v>
      </c>
      <c r="AG26" s="2">
        <f t="shared" si="11"/>
        <v>-72188</v>
      </c>
      <c r="AH26" s="3">
        <f t="shared" si="12"/>
        <v>0.4095134800123954</v>
      </c>
      <c r="AI26" s="3">
        <f t="shared" si="13"/>
        <v>0.2905353413213147</v>
      </c>
      <c r="AJ26" s="3">
        <f t="shared" si="14"/>
        <v>0.17420508779761459</v>
      </c>
      <c r="AK26" s="3">
        <f t="shared" si="15"/>
        <v>29.80221653878943</v>
      </c>
      <c r="AL26" s="3">
        <f t="shared" si="16"/>
        <v>2.3507549933797223</v>
      </c>
      <c r="AM26" s="5">
        <f t="shared" si="18"/>
        <v>0.12268573604302509</v>
      </c>
      <c r="AN26" s="5">
        <f>'Balance Sheet'!J26/Ratios!K26</f>
        <v>0.36597269450744357</v>
      </c>
      <c r="AO26" s="5">
        <f>'Cash Flow'!E26/C26</f>
        <v>0.4565465708438437</v>
      </c>
      <c r="AP26" s="5">
        <f>('Cash Flow'!E26+'Cash Flow'!F26)/Ratios!C26</f>
        <v>0.33386083480081863</v>
      </c>
      <c r="AQ26">
        <v>18.88</v>
      </c>
    </row>
    <row r="27" spans="1:43" x14ac:dyDescent="0.35">
      <c r="A27" t="s">
        <v>58</v>
      </c>
      <c r="B27" s="1">
        <v>44196</v>
      </c>
      <c r="C27" s="40">
        <f>'Income Statement'!C27</f>
        <v>143015</v>
      </c>
      <c r="D27" s="40">
        <f>'Income Statement'!E27</f>
        <v>96937</v>
      </c>
      <c r="E27" s="41">
        <v>65941</v>
      </c>
      <c r="F27" s="40">
        <v>52959</v>
      </c>
      <c r="G27" s="40">
        <f>'Income Statement'!P27</f>
        <v>53036</v>
      </c>
      <c r="H27" s="40">
        <f>'Income Statement'!R27</f>
        <v>44281</v>
      </c>
      <c r="I27" s="40">
        <f>'Balance Sheet'!D27</f>
        <v>136527</v>
      </c>
      <c r="J27" s="40">
        <f>'Balance Sheet'!I27</f>
        <v>181915</v>
      </c>
      <c r="K27" s="40">
        <f>'Balance Sheet'!R27</f>
        <v>301311</v>
      </c>
      <c r="L27" s="40">
        <f>'Balance Sheet'!X27</f>
        <v>72310</v>
      </c>
      <c r="M27" s="40">
        <f>'Balance Sheet'!AL27</f>
        <v>118304</v>
      </c>
      <c r="N27" s="41">
        <v>2591</v>
      </c>
      <c r="O27" s="40">
        <v>9287</v>
      </c>
      <c r="P27" s="40">
        <v>9496</v>
      </c>
      <c r="Q27" s="40">
        <v>63327</v>
      </c>
      <c r="R27" s="40">
        <f t="shared" si="17"/>
        <v>82110</v>
      </c>
      <c r="S27" s="41">
        <v>12796</v>
      </c>
      <c r="T27" s="42">
        <f>-'Cash Flow'!F27</f>
        <v>15441</v>
      </c>
      <c r="U27" s="4">
        <f t="shared" si="19"/>
        <v>0.13645574247276368</v>
      </c>
      <c r="V27" s="5">
        <f t="shared" si="1"/>
        <v>0.67781001992797962</v>
      </c>
      <c r="W27" s="5">
        <f t="shared" si="2"/>
        <v>0.46107750935216585</v>
      </c>
      <c r="X27" s="5">
        <f t="shared" si="3"/>
        <v>0.37030381428521486</v>
      </c>
      <c r="Y27" s="5">
        <f t="shared" si="4"/>
        <v>0.37084221934762091</v>
      </c>
      <c r="Z27" s="5">
        <f t="shared" si="5"/>
        <v>0.16507655177615205</v>
      </c>
      <c r="AA27" s="5">
        <f t="shared" si="6"/>
        <v>0.30962486452470023</v>
      </c>
      <c r="AB27" s="5">
        <f t="shared" si="7"/>
        <v>0.37429841763592103</v>
      </c>
      <c r="AC27" s="5">
        <f t="shared" si="8"/>
        <v>0.98032792866456986</v>
      </c>
      <c r="AD27" s="5">
        <f t="shared" si="9"/>
        <v>0.14696111326835065</v>
      </c>
      <c r="AE27" s="3">
        <f>(I27+'Balance Sheet'!E27)/L27</f>
        <v>2.3307702945650672</v>
      </c>
      <c r="AF27" s="3">
        <f t="shared" si="10"/>
        <v>2.5157654542940118</v>
      </c>
      <c r="AG27" s="2">
        <f t="shared" si="11"/>
        <v>-73200</v>
      </c>
      <c r="AH27" s="3">
        <f t="shared" si="12"/>
        <v>0.5352904381931296</v>
      </c>
      <c r="AI27" s="3">
        <f t="shared" si="13"/>
        <v>0.34865744283740108</v>
      </c>
      <c r="AJ27" s="3">
        <f t="shared" si="14"/>
        <v>0.21017155032507939</v>
      </c>
      <c r="AK27" s="3">
        <f t="shared" si="15"/>
        <v>20.439598610575068</v>
      </c>
      <c r="AL27" s="3">
        <f t="shared" si="16"/>
        <v>2.5469214903976196</v>
      </c>
      <c r="AM27" s="5">
        <f t="shared" si="18"/>
        <v>0.10796769569625564</v>
      </c>
      <c r="AN27" s="5">
        <f>'Balance Sheet'!J27/Ratios!K27</f>
        <v>0.31894288625373785</v>
      </c>
      <c r="AO27" s="5">
        <f>'Cash Flow'!E27/C27</f>
        <v>0.42425619690242283</v>
      </c>
      <c r="AP27" s="5">
        <f>('Cash Flow'!E27+'Cash Flow'!F27)/Ratios!C27</f>
        <v>0.31628850120616719</v>
      </c>
      <c r="AQ27">
        <v>15.63</v>
      </c>
    </row>
    <row r="28" spans="1:43" x14ac:dyDescent="0.35">
      <c r="A28" t="s">
        <v>58</v>
      </c>
      <c r="B28" s="1">
        <v>43830</v>
      </c>
      <c r="C28" s="40">
        <f>'Income Statement'!C28</f>
        <v>125843</v>
      </c>
      <c r="D28" s="40">
        <f>'Income Statement'!E28</f>
        <v>82933</v>
      </c>
      <c r="E28" s="41">
        <v>54929</v>
      </c>
      <c r="F28" s="40">
        <v>42959</v>
      </c>
      <c r="G28" s="40">
        <f>'Income Statement'!P28</f>
        <v>43688</v>
      </c>
      <c r="H28" s="40">
        <f>'Income Statement'!R28</f>
        <v>39240</v>
      </c>
      <c r="I28" s="40">
        <f>'Balance Sheet'!D28</f>
        <v>133819</v>
      </c>
      <c r="J28" s="40">
        <f>'Balance Sheet'!I28</f>
        <v>175552</v>
      </c>
      <c r="K28" s="40">
        <f>'Balance Sheet'!R28</f>
        <v>286556</v>
      </c>
      <c r="L28" s="40">
        <f>'Balance Sheet'!X28</f>
        <v>69420</v>
      </c>
      <c r="M28" s="40">
        <f>'Balance Sheet'!AL28</f>
        <v>102330</v>
      </c>
      <c r="N28" s="41">
        <v>2686</v>
      </c>
      <c r="O28" s="40">
        <v>7703</v>
      </c>
      <c r="P28" s="40">
        <v>6574</v>
      </c>
      <c r="Q28" s="40">
        <v>72781</v>
      </c>
      <c r="R28" s="40">
        <f t="shared" si="17"/>
        <v>87058</v>
      </c>
      <c r="S28" s="41">
        <v>11682</v>
      </c>
      <c r="T28" s="42">
        <f>-'Cash Flow'!F28</f>
        <v>13925</v>
      </c>
      <c r="U28" s="4">
        <f t="shared" si="19"/>
        <v>0.14029539688292861</v>
      </c>
      <c r="V28" s="5">
        <f t="shared" si="1"/>
        <v>0.65901957200638894</v>
      </c>
      <c r="W28" s="5">
        <f t="shared" si="2"/>
        <v>0.43648832275136479</v>
      </c>
      <c r="X28" s="5">
        <f t="shared" si="3"/>
        <v>0.3413698020549415</v>
      </c>
      <c r="Y28" s="5">
        <f t="shared" si="4"/>
        <v>0.34716273451840785</v>
      </c>
      <c r="Z28" s="5">
        <f t="shared" si="5"/>
        <v>0.10181285478850027</v>
      </c>
      <c r="AA28" s="5">
        <f t="shared" si="6"/>
        <v>0.31181710544090652</v>
      </c>
      <c r="AB28" s="5">
        <f t="shared" si="7"/>
        <v>0.38346525945470539</v>
      </c>
      <c r="AC28" s="5">
        <f t="shared" si="8"/>
        <v>0.93444787298122689</v>
      </c>
      <c r="AD28" s="5">
        <f t="shared" si="9"/>
        <v>0.13693658482111698</v>
      </c>
      <c r="AE28" s="3">
        <f>(I28+'Balance Sheet'!E28)/L28</f>
        <v>2.3529674445404782</v>
      </c>
      <c r="AF28" s="3">
        <f t="shared" si="10"/>
        <v>2.5288389513108616</v>
      </c>
      <c r="AG28" s="2">
        <f t="shared" si="11"/>
        <v>-61038</v>
      </c>
      <c r="AH28" s="3">
        <f t="shared" si="12"/>
        <v>0.71123815107983979</v>
      </c>
      <c r="AI28" s="3">
        <f t="shared" si="13"/>
        <v>0.41562780179429049</v>
      </c>
      <c r="AJ28" s="3">
        <f t="shared" si="14"/>
        <v>0.2539852594257318</v>
      </c>
      <c r="AK28" s="3">
        <f t="shared" si="15"/>
        <v>15.99367088607595</v>
      </c>
      <c r="AL28" s="3">
        <f t="shared" si="16"/>
        <v>2.8003127137691783</v>
      </c>
      <c r="AM28" s="5">
        <f t="shared" si="18"/>
        <v>0.11065375110256431</v>
      </c>
      <c r="AN28" s="5">
        <f>'Balance Sheet'!J28/Ratios!K28</f>
        <v>0.27633691145884226</v>
      </c>
      <c r="AO28" s="5">
        <f>'Cash Flow'!E28/C28</f>
        <v>0.41468337531686306</v>
      </c>
      <c r="AP28" s="5">
        <f>('Cash Flow'!E28+'Cash Flow'!F28)/Ratios!C28</f>
        <v>0.30402962421429874</v>
      </c>
      <c r="AQ28">
        <v>13.39</v>
      </c>
    </row>
    <row r="29" spans="1:43" x14ac:dyDescent="0.35">
      <c r="A29" t="s">
        <v>58</v>
      </c>
      <c r="B29" s="1">
        <v>43465</v>
      </c>
      <c r="C29" s="40">
        <f>'Income Statement'!C29</f>
        <v>110360</v>
      </c>
      <c r="D29" s="40">
        <f>'Income Statement'!E29</f>
        <v>72007</v>
      </c>
      <c r="E29" s="41">
        <v>45319</v>
      </c>
      <c r="F29" s="40">
        <v>35058</v>
      </c>
      <c r="G29" s="40">
        <f>'Income Statement'!P29</f>
        <v>36474</v>
      </c>
      <c r="H29" s="40">
        <f>'Income Statement'!R29</f>
        <v>16571</v>
      </c>
      <c r="I29" s="40">
        <f>'Balance Sheet'!D29</f>
        <v>133650</v>
      </c>
      <c r="J29" s="40">
        <f>'Balance Sheet'!I29</f>
        <v>169662</v>
      </c>
      <c r="K29" s="40">
        <f>'Balance Sheet'!R29</f>
        <v>258848</v>
      </c>
      <c r="L29" s="40">
        <f>'Balance Sheet'!X29</f>
        <v>58488</v>
      </c>
      <c r="M29" s="40">
        <f>'Balance Sheet'!AL29</f>
        <v>82718</v>
      </c>
      <c r="N29" s="41">
        <v>2733</v>
      </c>
      <c r="O29" s="40">
        <v>6967</v>
      </c>
      <c r="P29" s="40">
        <v>4301</v>
      </c>
      <c r="Q29" s="40">
        <v>76898</v>
      </c>
      <c r="R29" s="40">
        <f t="shared" si="17"/>
        <v>88166</v>
      </c>
      <c r="S29" s="41">
        <v>10261</v>
      </c>
      <c r="T29" s="42">
        <f>-'Cash Flow'!F29</f>
        <v>11632</v>
      </c>
      <c r="U29" s="4">
        <f t="shared" si="19"/>
        <v>0.14278613662486667</v>
      </c>
      <c r="V29" s="5">
        <f t="shared" si="1"/>
        <v>0.65247372236317502</v>
      </c>
      <c r="W29" s="5">
        <f t="shared" si="2"/>
        <v>0.41064697354113811</v>
      </c>
      <c r="X29" s="5">
        <f t="shared" si="3"/>
        <v>0.31766944545125048</v>
      </c>
      <c r="Y29" s="5">
        <f t="shared" si="4"/>
        <v>0.33050018122508157</v>
      </c>
      <c r="Z29" s="5">
        <f t="shared" si="5"/>
        <v>0.5456763722103416</v>
      </c>
      <c r="AA29" s="5">
        <f t="shared" si="6"/>
        <v>0.15015404131931859</v>
      </c>
      <c r="AB29" s="5">
        <f t="shared" si="7"/>
        <v>0.20033124591987234</v>
      </c>
      <c r="AC29" s="5">
        <f t="shared" si="8"/>
        <v>0.61340513529422491</v>
      </c>
      <c r="AD29" s="5">
        <f t="shared" si="9"/>
        <v>6.4018265545802935E-2</v>
      </c>
      <c r="AE29" s="3">
        <f>(I29+'Balance Sheet'!E29)/L29</f>
        <v>2.7378436602379974</v>
      </c>
      <c r="AF29" s="3">
        <f t="shared" si="10"/>
        <v>2.9008001641362329</v>
      </c>
      <c r="AG29" s="2">
        <f t="shared" si="11"/>
        <v>-56752</v>
      </c>
      <c r="AH29" s="3">
        <f t="shared" si="12"/>
        <v>0.92964046519499988</v>
      </c>
      <c r="AI29" s="3">
        <f t="shared" si="13"/>
        <v>0.48176874498797112</v>
      </c>
      <c r="AJ29" s="3">
        <f t="shared" si="14"/>
        <v>0.29707782173321795</v>
      </c>
      <c r="AK29" s="3">
        <f t="shared" si="15"/>
        <v>12.827661909989024</v>
      </c>
      <c r="AL29" s="3">
        <f t="shared" si="16"/>
        <v>3.1292826228874007</v>
      </c>
      <c r="AM29" s="5">
        <f t="shared" si="18"/>
        <v>0.10540050743022834</v>
      </c>
      <c r="AN29" s="5">
        <f>'Balance Sheet'!J29/Ratios!K29</f>
        <v>0.25253816911855609</v>
      </c>
      <c r="AO29" s="5">
        <f>'Cash Flow'!E29/C29</f>
        <v>0.39764407393983325</v>
      </c>
      <c r="AP29" s="5">
        <f>('Cash Flow'!E29+'Cash Flow'!F29)/Ratios!C29</f>
        <v>0.29224356650960492</v>
      </c>
      <c r="AQ29">
        <v>10.77</v>
      </c>
    </row>
    <row r="30" spans="1:43" x14ac:dyDescent="0.35">
      <c r="A30" t="s">
        <v>58</v>
      </c>
      <c r="B30" s="1">
        <v>43100</v>
      </c>
      <c r="C30" s="40">
        <v>96571</v>
      </c>
      <c r="D30" s="40">
        <f>'Income Statement'!E30</f>
        <v>62310</v>
      </c>
      <c r="E30" s="41">
        <v>34667</v>
      </c>
      <c r="F30" s="40">
        <v>29025</v>
      </c>
      <c r="G30" s="40">
        <f>'Income Statement'!P30</f>
        <v>29901</v>
      </c>
      <c r="H30" s="40">
        <f>'Income Statement'!R30</f>
        <v>25489</v>
      </c>
      <c r="I30" s="40">
        <v>132981</v>
      </c>
      <c r="J30" s="40">
        <f>'Balance Sheet'!I30</f>
        <v>162696</v>
      </c>
      <c r="K30" s="40">
        <f>'Balance Sheet'!R30</f>
        <v>250312</v>
      </c>
      <c r="L30" s="40">
        <f>'Balance Sheet'!X30</f>
        <v>55745</v>
      </c>
      <c r="M30" s="40">
        <f>'Balance Sheet'!AL30</f>
        <v>87711</v>
      </c>
      <c r="N30" s="41">
        <v>2222</v>
      </c>
      <c r="O30" s="40">
        <v>6975</v>
      </c>
      <c r="P30" s="40">
        <v>2538</v>
      </c>
      <c r="Q30" s="40">
        <v>77837</v>
      </c>
      <c r="R30" s="40">
        <f t="shared" si="17"/>
        <v>87350</v>
      </c>
      <c r="S30" s="41">
        <v>8778</v>
      </c>
      <c r="T30" s="42">
        <f>-'Cash Flow'!F30</f>
        <v>8129</v>
      </c>
      <c r="U30" s="4">
        <f t="shared" si="19"/>
        <v>5.9426903920837264E-2</v>
      </c>
      <c r="V30" s="5">
        <f t="shared" si="1"/>
        <v>0.64522475691460168</v>
      </c>
      <c r="W30" s="5">
        <f t="shared" si="2"/>
        <v>0.3589794037547504</v>
      </c>
      <c r="X30" s="5">
        <f t="shared" si="3"/>
        <v>0.30055606755651282</v>
      </c>
      <c r="Y30" s="5">
        <f t="shared" si="4"/>
        <v>0.30962711372979468</v>
      </c>
      <c r="Z30" s="5">
        <f t="shared" si="5"/>
        <v>0.14755359352530015</v>
      </c>
      <c r="AA30" s="5">
        <f t="shared" si="6"/>
        <v>0.26394052044609667</v>
      </c>
      <c r="AB30" s="5">
        <f t="shared" si="7"/>
        <v>0.29060209095780459</v>
      </c>
      <c r="AC30" s="5">
        <f t="shared" si="8"/>
        <v>0.75973399293543042</v>
      </c>
      <c r="AD30" s="5">
        <f t="shared" si="9"/>
        <v>0.10182891751094635</v>
      </c>
      <c r="AE30" s="3">
        <f>(I30+'Balance Sheet'!E30)/L30</f>
        <v>2.7879092295273118</v>
      </c>
      <c r="AF30" s="3">
        <f t="shared" si="10"/>
        <v>2.9185756570095971</v>
      </c>
      <c r="AG30" s="2">
        <f t="shared" si="11"/>
        <v>-55144</v>
      </c>
      <c r="AH30" s="3">
        <f t="shared" si="12"/>
        <v>0.88742575047599503</v>
      </c>
      <c r="AI30" s="3">
        <f t="shared" si="13"/>
        <v>0.47017783361925242</v>
      </c>
      <c r="AJ30" s="3">
        <f t="shared" si="14"/>
        <v>0.31095992201732237</v>
      </c>
      <c r="AK30" s="3">
        <f t="shared" si="15"/>
        <v>13.062556255625562</v>
      </c>
      <c r="AL30" s="3">
        <f t="shared" si="16"/>
        <v>2.8538267720126322</v>
      </c>
      <c r="AM30" s="5">
        <f t="shared" si="18"/>
        <v>8.4176409066904143E-2</v>
      </c>
      <c r="AN30" s="5">
        <f>'Balance Sheet'!J30/Ratios!K30</f>
        <v>0.21760043465754739</v>
      </c>
      <c r="AO30" s="5">
        <f>'Cash Flow'!E30/C30</f>
        <v>0.40909796936968656</v>
      </c>
      <c r="AP30" s="5">
        <f>('Cash Flow'!E30+'Cash Flow'!F30)/Ratios!C30</f>
        <v>0.32492156030278241</v>
      </c>
      <c r="AQ30">
        <v>9.39</v>
      </c>
    </row>
    <row r="31" spans="1:43" x14ac:dyDescent="0.35">
      <c r="A31" t="s">
        <v>58</v>
      </c>
      <c r="B31" s="1">
        <v>42735</v>
      </c>
      <c r="C31" s="40">
        <v>91154</v>
      </c>
      <c r="D31" s="40">
        <f>'Income Statement'!E31</f>
        <v>58374</v>
      </c>
      <c r="E31" s="41">
        <v>27914</v>
      </c>
      <c r="F31" s="40">
        <v>26078</v>
      </c>
      <c r="G31" s="40">
        <f>'Income Statement'!P31</f>
        <v>25639</v>
      </c>
      <c r="H31" s="40">
        <f>'Income Statement'!R31</f>
        <v>20539</v>
      </c>
      <c r="I31" s="40">
        <v>113240</v>
      </c>
      <c r="J31" s="40">
        <f>'Balance Sheet'!I31</f>
        <v>139660</v>
      </c>
      <c r="K31" s="40">
        <f>'Balance Sheet'!R31</f>
        <v>193468</v>
      </c>
      <c r="L31" s="40">
        <f>'Balance Sheet'!X31</f>
        <v>59357</v>
      </c>
      <c r="M31" s="40">
        <f>'Balance Sheet'!AL31</f>
        <v>71997</v>
      </c>
      <c r="N31" s="41">
        <v>1243</v>
      </c>
      <c r="O31" s="40">
        <v>6464</v>
      </c>
      <c r="P31" s="40">
        <v>0</v>
      </c>
      <c r="Q31" s="40">
        <v>40949</v>
      </c>
      <c r="R31" s="40">
        <f t="shared" si="17"/>
        <v>47413</v>
      </c>
      <c r="S31" s="41">
        <v>6622</v>
      </c>
      <c r="T31" s="42">
        <f>-'Cash Flow'!F31</f>
        <v>8343</v>
      </c>
      <c r="U31" s="4">
        <f t="shared" si="19"/>
        <v>-2.592434280829237E-2</v>
      </c>
      <c r="V31" s="5">
        <f t="shared" si="1"/>
        <v>0.64038879259275516</v>
      </c>
      <c r="W31" s="5">
        <f t="shared" si="2"/>
        <v>0.30622901902275268</v>
      </c>
      <c r="X31" s="5">
        <f t="shared" si="3"/>
        <v>0.28608728086534874</v>
      </c>
      <c r="Y31" s="5">
        <f t="shared" si="4"/>
        <v>0.28127125523838781</v>
      </c>
      <c r="Z31" s="5">
        <f t="shared" si="5"/>
        <v>0.19891571434143299</v>
      </c>
      <c r="AA31" s="5">
        <f t="shared" si="6"/>
        <v>0.22532198257893235</v>
      </c>
      <c r="AB31" s="5">
        <f t="shared" si="7"/>
        <v>0.28527577537952969</v>
      </c>
      <c r="AC31" s="5">
        <f t="shared" si="8"/>
        <v>-71.056721093211266</v>
      </c>
      <c r="AD31" s="5">
        <f t="shared" si="9"/>
        <v>0.10616225939173403</v>
      </c>
      <c r="AE31" s="3">
        <f>(I31+'Balance Sheet'!E31)/L31</f>
        <v>2.2156948632848694</v>
      </c>
      <c r="AF31" s="3">
        <f t="shared" si="10"/>
        <v>2.3528817157201343</v>
      </c>
      <c r="AG31" s="2">
        <f t="shared" si="11"/>
        <v>-72291</v>
      </c>
      <c r="AH31" s="3">
        <f t="shared" si="12"/>
        <v>0.56875980943650428</v>
      </c>
      <c r="AI31" s="3">
        <f t="shared" si="13"/>
        <v>0.36255378676535688</v>
      </c>
      <c r="AJ31" s="3">
        <f t="shared" si="14"/>
        <v>0.21165774184878119</v>
      </c>
      <c r="AK31" s="3">
        <f t="shared" si="15"/>
        <v>20.9798873692679</v>
      </c>
      <c r="AL31" s="3">
        <f t="shared" si="16"/>
        <v>2.687167520868925</v>
      </c>
      <c r="AM31" s="5">
        <f t="shared" si="18"/>
        <v>9.1526427803497373E-2</v>
      </c>
      <c r="AN31" s="5">
        <f>'Balance Sheet'!J31/Ratios!K31</f>
        <v>0.19722124589079332</v>
      </c>
      <c r="AO31" s="5">
        <f>'Cash Flow'!E31/C31</f>
        <v>0.36559010026987299</v>
      </c>
      <c r="AP31" s="5">
        <f>('Cash Flow'!E31+'Cash Flow'!F31)/Ratios!C31</f>
        <v>0.27406367246637559</v>
      </c>
      <c r="AQ31">
        <v>9.2200000000000006</v>
      </c>
    </row>
    <row r="32" spans="1:43" x14ac:dyDescent="0.35">
      <c r="A32" t="s">
        <v>58</v>
      </c>
      <c r="B32" s="1">
        <v>42369</v>
      </c>
      <c r="C32" s="40">
        <f>'Income Statement'!C32</f>
        <v>93580</v>
      </c>
      <c r="D32" s="40">
        <f>'Income Statement'!E32</f>
        <v>60542</v>
      </c>
      <c r="E32" s="41">
        <v>34129</v>
      </c>
      <c r="F32" s="40">
        <v>18161</v>
      </c>
      <c r="G32" s="40">
        <f>'Income Statement'!P32</f>
        <v>18507</v>
      </c>
      <c r="H32" s="40">
        <f>'Income Statement'!R32</f>
        <v>12193</v>
      </c>
      <c r="I32" s="40">
        <v>96526</v>
      </c>
      <c r="J32" s="40">
        <f>'Balance Sheet'!I32</f>
        <v>122797</v>
      </c>
      <c r="K32" s="40">
        <v>174472</v>
      </c>
      <c r="L32" s="40">
        <f>'Balance Sheet'!X32</f>
        <v>49647</v>
      </c>
      <c r="M32" s="40">
        <f>'Balance Sheet'!AL32</f>
        <v>80083</v>
      </c>
      <c r="N32" s="41">
        <v>781</v>
      </c>
      <c r="O32" s="40">
        <v>5153</v>
      </c>
      <c r="P32" s="40">
        <v>0</v>
      </c>
      <c r="Q32" s="40">
        <v>30463</v>
      </c>
      <c r="R32" s="40">
        <f t="shared" si="17"/>
        <v>35616</v>
      </c>
      <c r="S32" s="41">
        <v>5957</v>
      </c>
      <c r="T32" s="42">
        <f>-'Cash Flow'!F32</f>
        <v>5944</v>
      </c>
      <c r="U32" s="4">
        <f t="shared" si="19"/>
        <v>7.7700874091647179E-2</v>
      </c>
      <c r="V32" s="5">
        <f t="shared" si="1"/>
        <v>0.64695447745244705</v>
      </c>
      <c r="W32" s="5">
        <f t="shared" si="2"/>
        <v>0.36470399658046593</v>
      </c>
      <c r="X32" s="5">
        <f t="shared" si="3"/>
        <v>0.19406924556529173</v>
      </c>
      <c r="Y32" s="5">
        <f t="shared" si="4"/>
        <v>0.19776661679846122</v>
      </c>
      <c r="Z32" s="5">
        <f t="shared" si="5"/>
        <v>0.34116820662452046</v>
      </c>
      <c r="AA32" s="5">
        <f t="shared" si="6"/>
        <v>0.13029493481513144</v>
      </c>
      <c r="AB32" s="5">
        <f t="shared" si="7"/>
        <v>0.15225453591898405</v>
      </c>
      <c r="AC32" s="5">
        <f t="shared" si="8"/>
        <v>0.85342683305934963</v>
      </c>
      <c r="AD32" s="5">
        <f t="shared" si="9"/>
        <v>6.988513916273098E-2</v>
      </c>
      <c r="AE32" s="3">
        <f>(I32+'Balance Sheet'!E32)/L32</f>
        <v>2.3049529679537537</v>
      </c>
      <c r="AF32" s="3">
        <f t="shared" si="10"/>
        <v>2.4734022196708763</v>
      </c>
      <c r="AG32" s="2">
        <f t="shared" si="11"/>
        <v>-66063</v>
      </c>
      <c r="AH32" s="3">
        <f t="shared" si="12"/>
        <v>0.38039284242598304</v>
      </c>
      <c r="AI32" s="3">
        <f t="shared" si="13"/>
        <v>0.27556854160259076</v>
      </c>
      <c r="AJ32" s="3">
        <f t="shared" si="14"/>
        <v>0.17460108212205969</v>
      </c>
      <c r="AK32" s="3">
        <f t="shared" si="15"/>
        <v>23.253521126760564</v>
      </c>
      <c r="AL32" s="3">
        <f t="shared" si="16"/>
        <v>2.1786396613513479</v>
      </c>
      <c r="AM32" s="5">
        <f t="shared" si="18"/>
        <v>6.3517845693524255E-2</v>
      </c>
      <c r="AN32" s="5">
        <f>'Balance Sheet'!J32/Ratios!K32</f>
        <v>0.1853420606171764</v>
      </c>
      <c r="AO32" s="5">
        <f>'Cash Flow'!E32/C32</f>
        <v>0.31075016029066038</v>
      </c>
      <c r="AP32" s="5">
        <f>('Cash Flow'!E32+'Cash Flow'!F32)/Ratios!C32</f>
        <v>0.24723231459713613</v>
      </c>
      <c r="AQ32">
        <v>9.98</v>
      </c>
    </row>
    <row r="33" spans="1:43" x14ac:dyDescent="0.35">
      <c r="A33" t="s">
        <v>58</v>
      </c>
      <c r="B33" s="1">
        <v>42004</v>
      </c>
      <c r="C33" s="40">
        <f>'Income Statement'!C33</f>
        <v>86833</v>
      </c>
      <c r="D33" s="40">
        <v>59755</v>
      </c>
      <c r="E33" s="41">
        <v>33098</v>
      </c>
      <c r="F33" s="40">
        <v>27759</v>
      </c>
      <c r="G33" s="40">
        <f>'Income Statement'!P33</f>
        <v>27820</v>
      </c>
      <c r="H33" s="40">
        <f>'Income Statement'!R33</f>
        <v>22074</v>
      </c>
      <c r="I33" s="40">
        <v>85709</v>
      </c>
      <c r="J33" s="40">
        <f>'Balance Sheet'!I33</f>
        <v>114246</v>
      </c>
      <c r="K33" s="40">
        <f>'Balance Sheet'!R33</f>
        <v>172384</v>
      </c>
      <c r="L33" s="40">
        <f>'Balance Sheet'!X33</f>
        <v>45625</v>
      </c>
      <c r="M33" s="40">
        <f>'Balance Sheet'!AL33</f>
        <v>89784</v>
      </c>
      <c r="N33" s="41">
        <v>597</v>
      </c>
      <c r="O33" s="40">
        <v>4414</v>
      </c>
      <c r="P33" s="40">
        <v>0</v>
      </c>
      <c r="Q33" s="40">
        <v>20745</v>
      </c>
      <c r="R33" s="40">
        <f t="shared" si="17"/>
        <v>25159</v>
      </c>
      <c r="S33" s="41">
        <v>5212</v>
      </c>
      <c r="T33" s="42">
        <f>-'Cash Flow'!F33</f>
        <v>5485</v>
      </c>
      <c r="U33" s="4">
        <f t="shared" si="19"/>
        <v>0.11540289534868785</v>
      </c>
      <c r="V33" s="5">
        <f t="shared" si="1"/>
        <v>0.68816003132449644</v>
      </c>
      <c r="W33" s="5">
        <f t="shared" si="2"/>
        <v>0.38116844978291664</v>
      </c>
      <c r="X33" s="5">
        <f t="shared" si="3"/>
        <v>0.31968260914629232</v>
      </c>
      <c r="Y33" s="5">
        <f t="shared" si="4"/>
        <v>0.32038510704455681</v>
      </c>
      <c r="Z33" s="5">
        <f t="shared" si="5"/>
        <v>0.20654205607476636</v>
      </c>
      <c r="AA33" s="5">
        <f t="shared" si="6"/>
        <v>0.25421210829983992</v>
      </c>
      <c r="AB33" s="5">
        <f t="shared" si="7"/>
        <v>0.24585672280139001</v>
      </c>
      <c r="AC33" s="5">
        <f t="shared" si="8"/>
        <v>0.88741333865513938</v>
      </c>
      <c r="AD33" s="5">
        <f t="shared" si="9"/>
        <v>0.12805132726935214</v>
      </c>
      <c r="AE33" s="3">
        <f>(I33+'Balance Sheet'!E33)/L33</f>
        <v>2.3069150684931508</v>
      </c>
      <c r="AF33" s="3">
        <f t="shared" si="10"/>
        <v>2.504021917808219</v>
      </c>
      <c r="AG33" s="2">
        <f t="shared" si="11"/>
        <v>-64964</v>
      </c>
      <c r="AH33" s="3">
        <f t="shared" si="12"/>
        <v>0.23105453087409783</v>
      </c>
      <c r="AI33" s="3">
        <f t="shared" si="13"/>
        <v>0.18768829899845291</v>
      </c>
      <c r="AJ33" s="3">
        <f t="shared" si="14"/>
        <v>0.12034179506218674</v>
      </c>
      <c r="AK33" s="3">
        <f t="shared" si="15"/>
        <v>46.497487437185931</v>
      </c>
      <c r="AL33" s="3">
        <f t="shared" si="16"/>
        <v>1.9199857435623273</v>
      </c>
      <c r="AM33" s="5">
        <f t="shared" si="18"/>
        <v>6.3167229048863904E-2</v>
      </c>
      <c r="AN33" s="5">
        <f>'Balance Sheet'!J33/Ratios!K33</f>
        <v>0.16129107109708557</v>
      </c>
      <c r="AO33" s="5">
        <f>'Cash Flow'!E33/C33</f>
        <v>0.37118376654037061</v>
      </c>
      <c r="AP33" s="5">
        <f>('Cash Flow'!E33+'Cash Flow'!F33)/Ratios!C33</f>
        <v>0.3080165374915067</v>
      </c>
      <c r="AQ33">
        <v>10.9</v>
      </c>
    </row>
    <row r="34" spans="1:43" x14ac:dyDescent="0.35">
      <c r="A34" t="s">
        <v>58</v>
      </c>
      <c r="B34" s="1">
        <v>41639</v>
      </c>
      <c r="C34" s="40">
        <f>'Income Statement'!C34</f>
        <v>77849</v>
      </c>
      <c r="D34" s="40">
        <f>'Income Statement'!E34</f>
        <v>57600</v>
      </c>
      <c r="E34" s="41">
        <v>30519</v>
      </c>
      <c r="F34" s="40">
        <v>26764</v>
      </c>
      <c r="G34" s="40">
        <f>'Income Statement'!P34</f>
        <v>27052</v>
      </c>
      <c r="H34" s="40">
        <f>'Income Statement'!R34</f>
        <v>21863</v>
      </c>
      <c r="I34" s="40">
        <v>77022</v>
      </c>
      <c r="J34" s="40">
        <f>'Balance Sheet'!I34</f>
        <v>101466</v>
      </c>
      <c r="K34" s="40">
        <f>'Balance Sheet'!R34</f>
        <v>142431</v>
      </c>
      <c r="L34" s="40">
        <f>'Balance Sheet'!X34</f>
        <v>37417</v>
      </c>
      <c r="M34" s="40">
        <v>78944</v>
      </c>
      <c r="N34" s="41">
        <v>429</v>
      </c>
      <c r="O34" s="40">
        <v>2462</v>
      </c>
      <c r="P34" s="40">
        <v>0</v>
      </c>
      <c r="Q34" s="40">
        <v>15665</v>
      </c>
      <c r="R34" s="40">
        <f t="shared" si="17"/>
        <v>18127</v>
      </c>
      <c r="S34" s="41">
        <v>3755</v>
      </c>
      <c r="T34" s="42">
        <f>-'Cash Flow'!F34</f>
        <v>4257</v>
      </c>
      <c r="U34" s="4">
        <f t="shared" si="19"/>
        <v>5.5966252051598553E-2</v>
      </c>
      <c r="V34" s="5">
        <f t="shared" ref="V34:V65" si="20">D34/C34</f>
        <v>0.7398938971598864</v>
      </c>
      <c r="W34" s="5">
        <f t="shared" ref="W34:W65" si="21">E34/C34</f>
        <v>0.39202815707330857</v>
      </c>
      <c r="X34" s="5">
        <f t="shared" ref="X34:X65" si="22">F34/C34</f>
        <v>0.34379375457616668</v>
      </c>
      <c r="Y34" s="5">
        <f t="shared" ref="Y34:Y65" si="23">G34/C34</f>
        <v>0.34749322406196609</v>
      </c>
      <c r="Z34" s="5">
        <f t="shared" ref="Z34:Z65" si="24">(G34-H34)/G34</f>
        <v>0.19181576223569421</v>
      </c>
      <c r="AA34" s="5">
        <f t="shared" ref="AA34:AA65" si="25">H34/C34</f>
        <v>0.28083854641678119</v>
      </c>
      <c r="AB34" s="5">
        <f t="shared" ref="AB34:AB65" si="26">H34/M34</f>
        <v>0.27694314957438182</v>
      </c>
      <c r="AC34" s="5">
        <f t="shared" ref="AC34:AC65" si="27">(F34*(1-Z34))/(Q34-I34+M34)</f>
        <v>1.2298995246218161</v>
      </c>
      <c r="AD34" s="5">
        <f t="shared" ref="AD34:AD65" si="28">H34/K34</f>
        <v>0.15349888718045931</v>
      </c>
      <c r="AE34" s="3">
        <f>(I34+'Balance Sheet'!E34)/L34</f>
        <v>2.5258037790309218</v>
      </c>
      <c r="AF34" s="3">
        <f t="shared" ref="AF34:AF65" si="29">J34/L34</f>
        <v>2.7117620333003716</v>
      </c>
      <c r="AG34" s="2">
        <f t="shared" ref="AG34:AG65" si="30">Q34-I34</f>
        <v>-61357</v>
      </c>
      <c r="AH34" s="3">
        <f t="shared" ref="AH34:AH65" si="31">Q34/M34</f>
        <v>0.19843179975678962</v>
      </c>
      <c r="AI34" s="3">
        <f t="shared" ref="AI34:AI65" si="32">Q34/SUM(Q34,M34)</f>
        <v>0.16557621367945968</v>
      </c>
      <c r="AJ34" s="3">
        <f t="shared" ref="AJ34:AJ65" si="33">Q34/K34</f>
        <v>0.10998307952622674</v>
      </c>
      <c r="AK34" s="3">
        <f t="shared" ref="AK34:AK65" si="34">F34/N34</f>
        <v>62.386946386946384</v>
      </c>
      <c r="AL34" s="3">
        <f t="shared" ref="AL34:AL65" si="35">K34/M34</f>
        <v>1.8042029793271179</v>
      </c>
      <c r="AM34" s="5">
        <f t="shared" si="18"/>
        <v>5.4682783336972858E-2</v>
      </c>
      <c r="AN34" s="5">
        <f>'Balance Sheet'!J34/Ratios!K34</f>
        <v>0.15799931194753952</v>
      </c>
      <c r="AO34" s="5">
        <f>'Cash Flow'!E34/C34</f>
        <v>0.37037084612519106</v>
      </c>
      <c r="AP34" s="5">
        <f>('Cash Flow'!E34+'Cash Flow'!F34)/Ratios!C34</f>
        <v>0.3156880627882182</v>
      </c>
      <c r="AQ34">
        <v>9.48</v>
      </c>
    </row>
    <row r="35" spans="1:43" x14ac:dyDescent="0.35">
      <c r="A35" t="s">
        <v>58</v>
      </c>
      <c r="B35" s="1">
        <v>41274</v>
      </c>
      <c r="C35" s="40">
        <f>'Income Statement'!C35</f>
        <v>73723</v>
      </c>
      <c r="D35" s="40">
        <f>'Income Statement'!E35</f>
        <v>56193</v>
      </c>
      <c r="E35" s="41">
        <v>30714</v>
      </c>
      <c r="F35" s="40">
        <f>'Income Statement'!L35</f>
        <v>21763</v>
      </c>
      <c r="G35" s="40">
        <f>'Income Statement'!P35</f>
        <v>22267</v>
      </c>
      <c r="H35" s="40">
        <f>'Income Statement'!R35</f>
        <v>16978</v>
      </c>
      <c r="I35" s="40">
        <f>'Balance Sheet'!D35</f>
        <v>63040</v>
      </c>
      <c r="J35" s="40">
        <f>'Balance Sheet'!I35</f>
        <v>85084</v>
      </c>
      <c r="K35" s="40">
        <f>'Balance Sheet'!R35</f>
        <v>121271</v>
      </c>
      <c r="L35" s="40">
        <f>'Balance Sheet'!X35</f>
        <v>32688</v>
      </c>
      <c r="M35" s="40">
        <f>'Balance Sheet'!AL35</f>
        <v>66363</v>
      </c>
      <c r="N35" s="41">
        <v>380</v>
      </c>
      <c r="O35" s="40">
        <v>1977</v>
      </c>
      <c r="P35" s="40">
        <v>0</v>
      </c>
      <c r="Q35" s="40">
        <v>12000</v>
      </c>
      <c r="R35" s="40">
        <f t="shared" si="17"/>
        <v>13977</v>
      </c>
      <c r="S35" s="41">
        <v>2967</v>
      </c>
      <c r="T35" s="42">
        <f>-'Cash Flow'!F35</f>
        <v>2305</v>
      </c>
      <c r="U35" s="4">
        <f t="shared" si="19"/>
        <v>5.404400726305706E-2</v>
      </c>
      <c r="V35" s="5">
        <f t="shared" si="20"/>
        <v>0.76221803236439101</v>
      </c>
      <c r="W35" s="5">
        <f t="shared" si="21"/>
        <v>0.41661353987222438</v>
      </c>
      <c r="X35" s="5">
        <f t="shared" si="22"/>
        <v>0.29519959849707689</v>
      </c>
      <c r="Y35" s="5">
        <f t="shared" si="23"/>
        <v>0.30203599962019995</v>
      </c>
      <c r="Z35" s="5">
        <f t="shared" si="24"/>
        <v>0.23752638433556383</v>
      </c>
      <c r="AA35" s="5">
        <f t="shared" si="25"/>
        <v>0.23029448069123612</v>
      </c>
      <c r="AB35" s="5">
        <f t="shared" si="26"/>
        <v>0.25583532992782121</v>
      </c>
      <c r="AC35" s="5">
        <f t="shared" si="27"/>
        <v>1.0829284929651586</v>
      </c>
      <c r="AD35" s="5">
        <f t="shared" si="28"/>
        <v>0.1400004947596705</v>
      </c>
      <c r="AE35" s="3">
        <f>(I35+'Balance Sheet'!E35)/L35</f>
        <v>2.4112824278022518</v>
      </c>
      <c r="AF35" s="3">
        <f t="shared" si="29"/>
        <v>2.6029123837493882</v>
      </c>
      <c r="AG35" s="2">
        <f t="shared" si="30"/>
        <v>-51040</v>
      </c>
      <c r="AH35" s="3">
        <f t="shared" si="31"/>
        <v>0.18082365173364676</v>
      </c>
      <c r="AI35" s="3">
        <f t="shared" si="32"/>
        <v>0.15313349412350216</v>
      </c>
      <c r="AJ35" s="3">
        <f t="shared" si="33"/>
        <v>9.8951934098011896E-2</v>
      </c>
      <c r="AK35" s="3">
        <f t="shared" si="34"/>
        <v>57.271052631578947</v>
      </c>
      <c r="AL35" s="3">
        <f t="shared" si="35"/>
        <v>1.8273887557825896</v>
      </c>
      <c r="AM35" s="5">
        <f t="shared" si="18"/>
        <v>3.1265683707933749E-2</v>
      </c>
      <c r="AN35" s="5">
        <f>'Balance Sheet'!J35/Ratios!K35</f>
        <v>0.15857872038657223</v>
      </c>
      <c r="AO35" s="5">
        <f>'Cash Flow'!E35/C35</f>
        <v>0.42898417047597087</v>
      </c>
      <c r="AP35" s="5">
        <f>('Cash Flow'!E35+'Cash Flow'!F35)/Ratios!C35</f>
        <v>0.39771848676803712</v>
      </c>
      <c r="AQ35">
        <v>7.92</v>
      </c>
    </row>
    <row r="36" spans="1:43" x14ac:dyDescent="0.35">
      <c r="A36" t="s">
        <v>58</v>
      </c>
      <c r="B36" s="1">
        <v>40908</v>
      </c>
      <c r="C36" s="40">
        <f>'Income Statement'!C36</f>
        <v>69943</v>
      </c>
      <c r="D36" s="40">
        <f>'Income Statement'!E36</f>
        <v>54366</v>
      </c>
      <c r="E36" s="41">
        <v>29927</v>
      </c>
      <c r="F36" s="40">
        <f>'Income Statement'!L36</f>
        <v>27161</v>
      </c>
      <c r="G36" s="40">
        <f>'Income Statement'!P36</f>
        <v>28071</v>
      </c>
      <c r="H36" s="40">
        <f>'Income Statement'!R36</f>
        <v>23150</v>
      </c>
      <c r="I36" s="40">
        <f>'Balance Sheet'!D36</f>
        <v>52772</v>
      </c>
      <c r="J36" s="40">
        <f>'Balance Sheet'!I36</f>
        <v>74918</v>
      </c>
      <c r="K36" s="40">
        <f>'Balance Sheet'!R36</f>
        <v>108704</v>
      </c>
      <c r="L36" s="40">
        <f>'Balance Sheet'!X36</f>
        <v>28774</v>
      </c>
      <c r="M36" s="40">
        <f>'Balance Sheet'!AL36</f>
        <v>57083</v>
      </c>
      <c r="N36" s="41">
        <v>295</v>
      </c>
      <c r="O36" s="40">
        <v>1952</v>
      </c>
      <c r="P36" s="40">
        <v>0</v>
      </c>
      <c r="Q36" s="40">
        <f>'Balance Sheet'!V36+'Balance Sheet'!AA36</f>
        <v>11921</v>
      </c>
      <c r="R36" s="40">
        <f t="shared" si="17"/>
        <v>13873</v>
      </c>
      <c r="S36" s="41">
        <v>2766</v>
      </c>
      <c r="T36" s="42">
        <f>-'Cash Flow'!F36</f>
        <v>2355</v>
      </c>
      <c r="U36" s="4">
        <f t="shared" si="19"/>
        <v>0.11937455988733116</v>
      </c>
      <c r="V36" s="5">
        <f t="shared" si="20"/>
        <v>0.77729007906438097</v>
      </c>
      <c r="W36" s="5">
        <f t="shared" si="21"/>
        <v>0.42787698554537268</v>
      </c>
      <c r="X36" s="5">
        <f t="shared" si="22"/>
        <v>0.38833049769097694</v>
      </c>
      <c r="Y36" s="5">
        <f t="shared" si="23"/>
        <v>0.40134109203208329</v>
      </c>
      <c r="Z36" s="5">
        <f t="shared" si="24"/>
        <v>0.17530547540166008</v>
      </c>
      <c r="AA36" s="5">
        <f t="shared" si="25"/>
        <v>0.3309838010951775</v>
      </c>
      <c r="AB36" s="5">
        <f t="shared" si="26"/>
        <v>0.40554981342956747</v>
      </c>
      <c r="AC36" s="5">
        <f t="shared" si="27"/>
        <v>1.3799610634928234</v>
      </c>
      <c r="AD36" s="5">
        <f t="shared" si="28"/>
        <v>0.21296364439211068</v>
      </c>
      <c r="AE36" s="3">
        <f>(I36+'Balance Sheet'!E36)/L36</f>
        <v>2.35486897893932</v>
      </c>
      <c r="AF36" s="3">
        <f t="shared" si="29"/>
        <v>2.6036699798429139</v>
      </c>
      <c r="AG36" s="2">
        <f t="shared" si="30"/>
        <v>-40851</v>
      </c>
      <c r="AH36" s="3">
        <f t="shared" si="31"/>
        <v>0.2088362559781371</v>
      </c>
      <c r="AI36" s="3">
        <f t="shared" si="32"/>
        <v>0.17275810097965336</v>
      </c>
      <c r="AJ36" s="3">
        <f t="shared" si="33"/>
        <v>0.10966477774506918</v>
      </c>
      <c r="AK36" s="3">
        <f t="shared" si="34"/>
        <v>92.071186440677963</v>
      </c>
      <c r="AL36" s="3">
        <f t="shared" si="35"/>
        <v>1.904314769721283</v>
      </c>
      <c r="AM36" s="5">
        <f t="shared" si="18"/>
        <v>3.3670274366269674E-2</v>
      </c>
      <c r="AN36" s="5">
        <f>'Balance Sheet'!J36/Ratios!K36</f>
        <v>0.16550448925522521</v>
      </c>
      <c r="AO36" s="5">
        <f>'Cash Flow'!E36/C36</f>
        <v>0.38594283916903765</v>
      </c>
      <c r="AP36" s="5">
        <f>('Cash Flow'!E36+'Cash Flow'!F36)/Ratios!C36</f>
        <v>0.35227256480276797</v>
      </c>
      <c r="AQ36">
        <v>6.82</v>
      </c>
    </row>
    <row r="37" spans="1:43" x14ac:dyDescent="0.35">
      <c r="A37" t="s">
        <v>58</v>
      </c>
      <c r="B37" s="1">
        <v>40543</v>
      </c>
      <c r="C37" s="40">
        <f>'Income Statement'!C37</f>
        <v>62484</v>
      </c>
      <c r="D37" s="40">
        <f>'Income Statement'!E37</f>
        <v>50089</v>
      </c>
      <c r="E37" s="41">
        <v>26764</v>
      </c>
      <c r="F37" s="40">
        <f>'Income Statement'!L37</f>
        <v>24098</v>
      </c>
      <c r="G37" s="40">
        <f>'Income Statement'!P37</f>
        <v>25013</v>
      </c>
      <c r="H37" s="40">
        <f>'Income Statement'!R37</f>
        <v>18760</v>
      </c>
      <c r="I37" s="40">
        <f>'Balance Sheet'!D37</f>
        <v>36788</v>
      </c>
      <c r="J37" s="40">
        <f>'Balance Sheet'!I37</f>
        <v>55676</v>
      </c>
      <c r="K37" s="40">
        <f>'Balance Sheet'!R37</f>
        <v>86113</v>
      </c>
      <c r="L37" s="40">
        <f>'Balance Sheet'!X37</f>
        <v>26147</v>
      </c>
      <c r="M37" s="40">
        <f>'Balance Sheet'!AL37</f>
        <v>46175</v>
      </c>
      <c r="N37" s="41">
        <v>151</v>
      </c>
      <c r="O37" s="40">
        <v>1898</v>
      </c>
      <c r="P37" s="40">
        <v>0</v>
      </c>
      <c r="Q37" s="40">
        <v>4939</v>
      </c>
      <c r="R37" s="40">
        <f t="shared" si="17"/>
        <v>6837</v>
      </c>
      <c r="S37" s="41">
        <v>2673</v>
      </c>
      <c r="T37" s="42">
        <f>-'Cash Flow'!F37</f>
        <v>1977</v>
      </c>
      <c r="U37" s="4">
        <f t="shared" si="19"/>
        <v>6.9254068484008419E-2</v>
      </c>
      <c r="V37" s="5">
        <f t="shared" si="20"/>
        <v>0.80162921707957235</v>
      </c>
      <c r="W37" s="5">
        <f t="shared" si="21"/>
        <v>0.4283336534152743</v>
      </c>
      <c r="X37" s="5">
        <f t="shared" si="22"/>
        <v>0.38566673068305485</v>
      </c>
      <c r="Y37" s="5">
        <f t="shared" si="23"/>
        <v>0.40031047948274756</v>
      </c>
      <c r="Z37" s="5">
        <f t="shared" si="24"/>
        <v>0.24999000519729742</v>
      </c>
      <c r="AA37" s="5">
        <f t="shared" si="25"/>
        <v>0.30023686063632288</v>
      </c>
      <c r="AB37" s="5">
        <f t="shared" si="26"/>
        <v>0.40628045479155389</v>
      </c>
      <c r="AC37" s="5">
        <f t="shared" si="27"/>
        <v>1.2616041361688908</v>
      </c>
      <c r="AD37" s="5">
        <f t="shared" si="28"/>
        <v>0.21785328579889215</v>
      </c>
      <c r="AE37" s="3">
        <f>(I37+'Balance Sheet'!E37)/L37</f>
        <v>1.9046926989712012</v>
      </c>
      <c r="AF37" s="3">
        <f t="shared" si="29"/>
        <v>2.1293456228247982</v>
      </c>
      <c r="AG37" s="2">
        <f t="shared" si="30"/>
        <v>-31849</v>
      </c>
      <c r="AH37" s="3">
        <f t="shared" si="31"/>
        <v>0.10696264212236059</v>
      </c>
      <c r="AI37" s="3">
        <f t="shared" si="32"/>
        <v>9.6627147161247401E-2</v>
      </c>
      <c r="AJ37" s="3">
        <f t="shared" si="33"/>
        <v>5.7354870925411958E-2</v>
      </c>
      <c r="AK37" s="3">
        <f t="shared" si="34"/>
        <v>159.58940397350995</v>
      </c>
      <c r="AL37" s="3">
        <f t="shared" si="35"/>
        <v>1.8649269085002707</v>
      </c>
      <c r="AM37" s="5">
        <f t="shared" si="18"/>
        <v>3.1640099865565582E-2</v>
      </c>
      <c r="AN37" s="5">
        <f>'Balance Sheet'!J37/Ratios!K37</f>
        <v>0.18881005190853878</v>
      </c>
      <c r="AO37" s="5">
        <f>'Cash Flow'!E37/C37</f>
        <v>0.38526662825683378</v>
      </c>
      <c r="AP37" s="5">
        <f>('Cash Flow'!E37+'Cash Flow'!F37)/Ratios!C37</f>
        <v>0.35362652839126818</v>
      </c>
      <c r="AQ37">
        <v>5.33</v>
      </c>
    </row>
    <row r="38" spans="1:43" x14ac:dyDescent="0.35">
      <c r="A38" t="s">
        <v>58</v>
      </c>
      <c r="B38" s="1">
        <v>40178</v>
      </c>
      <c r="C38" s="40">
        <f>'Income Statement'!C38</f>
        <v>58437</v>
      </c>
      <c r="D38" s="40">
        <f>'Income Statement'!E38</f>
        <v>46282</v>
      </c>
      <c r="E38" s="41">
        <v>22984</v>
      </c>
      <c r="F38" s="40">
        <f>'Income Statement'!L38</f>
        <v>21225</v>
      </c>
      <c r="G38" s="40">
        <f>'Income Statement'!P38</f>
        <v>19821</v>
      </c>
      <c r="H38" s="40">
        <f>'Income Statement'!R38</f>
        <v>14569</v>
      </c>
      <c r="I38" s="40">
        <f>'Balance Sheet'!D38</f>
        <v>31447</v>
      </c>
      <c r="J38" s="40">
        <f>'Balance Sheet'!I38</f>
        <v>49280</v>
      </c>
      <c r="K38" s="40">
        <f>'Balance Sheet'!R38</f>
        <v>77888</v>
      </c>
      <c r="L38" s="40">
        <f>'Balance Sheet'!X38</f>
        <v>27034</v>
      </c>
      <c r="M38" s="40">
        <f>'Balance Sheet'!AL38</f>
        <v>39558</v>
      </c>
      <c r="N38" s="41">
        <v>38</v>
      </c>
      <c r="O38" s="40">
        <v>2385</v>
      </c>
      <c r="P38" s="40">
        <v>0</v>
      </c>
      <c r="Q38" s="40">
        <v>3746</v>
      </c>
      <c r="R38" s="40">
        <f t="shared" si="17"/>
        <v>6131</v>
      </c>
      <c r="S38" s="41">
        <v>2562</v>
      </c>
      <c r="T38" s="42">
        <f>-'Cash Flow'!F38</f>
        <v>3119</v>
      </c>
      <c r="U38" s="4">
        <f t="shared" si="19"/>
        <v>-3.2820258192651441E-2</v>
      </c>
      <c r="V38" s="5">
        <f t="shared" si="20"/>
        <v>0.79199822030562828</v>
      </c>
      <c r="W38" s="5">
        <f t="shared" si="21"/>
        <v>0.39331245614935745</v>
      </c>
      <c r="X38" s="5">
        <f t="shared" si="22"/>
        <v>0.3632116638431131</v>
      </c>
      <c r="Y38" s="5">
        <f t="shared" si="23"/>
        <v>0.33918578982493969</v>
      </c>
      <c r="Z38" s="5">
        <f t="shared" si="24"/>
        <v>0.26497149487916855</v>
      </c>
      <c r="AA38" s="5">
        <f t="shared" si="25"/>
        <v>0.24931122405325393</v>
      </c>
      <c r="AB38" s="5">
        <f t="shared" si="26"/>
        <v>0.36829465594822791</v>
      </c>
      <c r="AC38" s="5">
        <f t="shared" si="27"/>
        <v>1.3157611555359405</v>
      </c>
      <c r="AD38" s="5">
        <f t="shared" si="28"/>
        <v>0.18705063681183237</v>
      </c>
      <c r="AE38" s="3">
        <f>(I38+'Balance Sheet'!E38)/L38</f>
        <v>1.5772360730931421</v>
      </c>
      <c r="AF38" s="3">
        <f t="shared" si="29"/>
        <v>1.8228896944588295</v>
      </c>
      <c r="AG38" s="2">
        <f t="shared" si="30"/>
        <v>-27701</v>
      </c>
      <c r="AH38" s="3">
        <f t="shared" si="31"/>
        <v>9.4696395166590827E-2</v>
      </c>
      <c r="AI38" s="3">
        <f t="shared" si="32"/>
        <v>8.6504710881211894E-2</v>
      </c>
      <c r="AJ38" s="3">
        <f t="shared" si="33"/>
        <v>4.8094700082169269E-2</v>
      </c>
      <c r="AK38" s="3"/>
      <c r="AL38" s="3">
        <f t="shared" si="35"/>
        <v>1.9689569745689872</v>
      </c>
      <c r="AM38" s="5">
        <f t="shared" si="18"/>
        <v>5.3373718705614595E-2</v>
      </c>
      <c r="AN38" s="5">
        <f>'Balance Sheet'!J38/Ratios!K38</f>
        <v>0.19363701725554641</v>
      </c>
      <c r="AO38" s="5">
        <f>'Cash Flow'!E38/C38</f>
        <v>0.325769632253538</v>
      </c>
      <c r="AP38" s="5">
        <f>('Cash Flow'!E38+'Cash Flow'!F38)/Ratios!C38</f>
        <v>0.27239591354792342</v>
      </c>
      <c r="AQ38">
        <v>4.4400000000000004</v>
      </c>
    </row>
    <row r="39" spans="1:43" x14ac:dyDescent="0.35">
      <c r="A39" t="s">
        <v>58</v>
      </c>
      <c r="B39" s="1">
        <v>39813</v>
      </c>
      <c r="C39" s="40">
        <f>'Income Statement'!C39</f>
        <v>60420</v>
      </c>
      <c r="D39" s="40">
        <f>'Income Statement'!E39</f>
        <v>48822</v>
      </c>
      <c r="E39" s="41">
        <v>26164</v>
      </c>
      <c r="F39" s="40">
        <f>'Income Statement'!L39</f>
        <v>22492</v>
      </c>
      <c r="G39" s="40">
        <f>'Income Statement'!P39</f>
        <v>23814</v>
      </c>
      <c r="H39" s="40">
        <f>'Income Statement'!R39</f>
        <v>17681</v>
      </c>
      <c r="I39" s="40">
        <f>'Balance Sheet'!D39</f>
        <v>23662</v>
      </c>
      <c r="J39" s="40">
        <f>'Balance Sheet'!I39</f>
        <v>43242</v>
      </c>
      <c r="K39" s="40">
        <f>'Balance Sheet'!R39</f>
        <v>72793</v>
      </c>
      <c r="L39" s="40">
        <f>'Balance Sheet'!X39</f>
        <v>29886</v>
      </c>
      <c r="M39" s="40">
        <f>'Balance Sheet'!AL39</f>
        <v>36286</v>
      </c>
      <c r="N39" s="41">
        <v>0</v>
      </c>
      <c r="O39" s="40">
        <v>2208</v>
      </c>
      <c r="P39" s="40">
        <v>1</v>
      </c>
      <c r="Q39" s="40">
        <v>0</v>
      </c>
      <c r="R39" s="40">
        <f t="shared" si="17"/>
        <v>2209</v>
      </c>
      <c r="S39" s="41">
        <v>2056</v>
      </c>
      <c r="T39" s="42">
        <f>-'Cash Flow'!F39</f>
        <v>3182</v>
      </c>
      <c r="U39" s="4">
        <f t="shared" si="19"/>
        <v>0.18187864324556943</v>
      </c>
      <c r="V39" s="5">
        <f t="shared" si="20"/>
        <v>0.80804369414101296</v>
      </c>
      <c r="W39" s="5">
        <f t="shared" si="21"/>
        <v>0.43303541873551804</v>
      </c>
      <c r="X39" s="5">
        <f t="shared" si="22"/>
        <v>0.37226084078119825</v>
      </c>
      <c r="Y39" s="5">
        <f t="shared" si="23"/>
        <v>0.39414101290963255</v>
      </c>
      <c r="Z39" s="5">
        <f t="shared" si="24"/>
        <v>0.25753758293440832</v>
      </c>
      <c r="AA39" s="5">
        <f t="shared" si="25"/>
        <v>0.29263488910956637</v>
      </c>
      <c r="AB39" s="5">
        <f t="shared" si="26"/>
        <v>0.48726781678884418</v>
      </c>
      <c r="AC39" s="5">
        <f t="shared" si="27"/>
        <v>1.3228346549936065</v>
      </c>
      <c r="AD39" s="5">
        <f t="shared" si="28"/>
        <v>0.24289423433571911</v>
      </c>
      <c r="AE39" s="3">
        <f>(I39+'Balance Sheet'!E39)/L39</f>
        <v>1.2464364585424614</v>
      </c>
      <c r="AF39" s="3">
        <f t="shared" si="29"/>
        <v>1.4468982132101988</v>
      </c>
      <c r="AG39" s="2">
        <f t="shared" si="30"/>
        <v>-23662</v>
      </c>
      <c r="AH39" s="3">
        <f t="shared" si="31"/>
        <v>0</v>
      </c>
      <c r="AI39" s="3">
        <f t="shared" si="32"/>
        <v>0</v>
      </c>
      <c r="AJ39" s="3">
        <f t="shared" si="33"/>
        <v>0</v>
      </c>
      <c r="AK39" s="3"/>
      <c r="AL39" s="3">
        <f t="shared" si="35"/>
        <v>2.0060905032243839</v>
      </c>
      <c r="AM39" s="5">
        <f t="shared" si="18"/>
        <v>5.2664680569347901E-2</v>
      </c>
      <c r="AN39" s="5">
        <f>'Balance Sheet'!J39/Ratios!K39</f>
        <v>0.17232426194826425</v>
      </c>
      <c r="AO39" s="5">
        <f>'Cash Flow'!E39/C39</f>
        <v>0.35769612711022841</v>
      </c>
      <c r="AP39" s="5">
        <f>('Cash Flow'!E39+'Cash Flow'!F39)/Ratios!C39</f>
        <v>0.30503144654088049</v>
      </c>
      <c r="AQ39">
        <v>3.97</v>
      </c>
    </row>
    <row r="40" spans="1:43" x14ac:dyDescent="0.35">
      <c r="A40" t="s">
        <v>58</v>
      </c>
      <c r="B40" s="1">
        <v>39447</v>
      </c>
      <c r="C40" s="40">
        <f>'Income Statement'!C40</f>
        <v>51122</v>
      </c>
      <c r="D40" s="40">
        <f>'Income Statement'!E40</f>
        <v>40429</v>
      </c>
      <c r="E40" s="41">
        <v>20441</v>
      </c>
      <c r="F40" s="40">
        <f>'Income Statement'!L40</f>
        <v>18524</v>
      </c>
      <c r="G40" s="40">
        <f>'Income Statement'!P40</f>
        <v>20101</v>
      </c>
      <c r="H40" s="40">
        <f>'Income Statement'!R40</f>
        <v>14065</v>
      </c>
      <c r="I40" s="40">
        <f>'Balance Sheet'!D40</f>
        <v>23411</v>
      </c>
      <c r="J40" s="40">
        <f>'Balance Sheet'!I40</f>
        <v>40168</v>
      </c>
      <c r="K40" s="40">
        <f>'Balance Sheet'!R40</f>
        <v>63171</v>
      </c>
      <c r="L40" s="40">
        <f>'Balance Sheet'!X40</f>
        <v>23754</v>
      </c>
      <c r="M40" s="40">
        <f>'Balance Sheet'!AL40</f>
        <v>31097</v>
      </c>
      <c r="N40" s="41">
        <v>0</v>
      </c>
      <c r="O40" s="40">
        <v>1341</v>
      </c>
      <c r="P40" s="40">
        <v>0</v>
      </c>
      <c r="Q40" s="40">
        <v>0</v>
      </c>
      <c r="R40" s="40">
        <f t="shared" si="17"/>
        <v>1341</v>
      </c>
      <c r="S40" s="41">
        <v>1440</v>
      </c>
      <c r="T40" s="42">
        <f>-'Cash Flow'!F40</f>
        <v>2264</v>
      </c>
      <c r="U40" s="4">
        <f t="shared" si="19"/>
        <v>0.15446456799602548</v>
      </c>
      <c r="V40" s="5">
        <f t="shared" si="20"/>
        <v>0.79083369195258402</v>
      </c>
      <c r="W40" s="5">
        <f t="shared" si="21"/>
        <v>0.39984742380971011</v>
      </c>
      <c r="X40" s="5">
        <f t="shared" si="22"/>
        <v>0.36234889088846289</v>
      </c>
      <c r="Y40" s="5">
        <f t="shared" si="23"/>
        <v>0.39319666679707366</v>
      </c>
      <c r="Z40" s="5">
        <f t="shared" si="24"/>
        <v>0.30028356798169248</v>
      </c>
      <c r="AA40" s="5">
        <f t="shared" si="25"/>
        <v>0.27512616877273971</v>
      </c>
      <c r="AB40" s="5">
        <f t="shared" si="26"/>
        <v>0.45229443354664439</v>
      </c>
      <c r="AC40" s="5">
        <f t="shared" si="27"/>
        <v>1.6863839691266107</v>
      </c>
      <c r="AD40" s="5">
        <f t="shared" si="28"/>
        <v>0.22264963353437495</v>
      </c>
      <c r="AE40" s="3">
        <f>(I40+'Balance Sheet'!E40)/L40</f>
        <v>1.4628694114675422</v>
      </c>
      <c r="AF40" s="3">
        <f t="shared" si="29"/>
        <v>1.6909994106255788</v>
      </c>
      <c r="AG40" s="2">
        <f t="shared" si="30"/>
        <v>-23411</v>
      </c>
      <c r="AH40" s="3">
        <f t="shared" si="31"/>
        <v>0</v>
      </c>
      <c r="AI40" s="3">
        <f t="shared" si="32"/>
        <v>0</v>
      </c>
      <c r="AJ40" s="3">
        <f t="shared" si="33"/>
        <v>0</v>
      </c>
      <c r="AK40" s="3"/>
      <c r="AL40" s="3">
        <f t="shared" si="35"/>
        <v>2.0314178216548222</v>
      </c>
      <c r="AM40" s="5">
        <f t="shared" si="18"/>
        <v>4.4286217284143815E-2</v>
      </c>
      <c r="AN40" s="5">
        <f>'Balance Sheet'!J40/Ratios!K40</f>
        <v>0.14826423517120196</v>
      </c>
      <c r="AO40" s="5">
        <f>'Cash Flow'!E40/C40</f>
        <v>0.34810844646140604</v>
      </c>
      <c r="AP40" s="5">
        <f>('Cash Flow'!E40+'Cash Flow'!F40)/Ratios!C40</f>
        <v>0.30382222917726226</v>
      </c>
      <c r="AQ40">
        <v>3.32</v>
      </c>
    </row>
    <row r="41" spans="1:43" x14ac:dyDescent="0.35">
      <c r="A41" s="7" t="s">
        <v>58</v>
      </c>
      <c r="B41" s="8">
        <v>39082</v>
      </c>
      <c r="C41" s="45">
        <f>'Income Statement'!C41</f>
        <v>44282</v>
      </c>
      <c r="D41" s="45">
        <f>'Income Statement'!E41</f>
        <v>36632</v>
      </c>
      <c r="E41" s="43">
        <v>18782</v>
      </c>
      <c r="F41" s="45">
        <f>'Income Statement'!L41</f>
        <v>16472</v>
      </c>
      <c r="G41" s="45">
        <f>'Income Statement'!P41</f>
        <v>18262</v>
      </c>
      <c r="H41" s="45">
        <f>'Income Statement'!R41</f>
        <v>12599</v>
      </c>
      <c r="I41" s="45">
        <f>'Balance Sheet'!D41</f>
        <v>34161</v>
      </c>
      <c r="J41" s="45">
        <f>'Balance Sheet'!I41</f>
        <v>49010</v>
      </c>
      <c r="K41" s="45">
        <f>'Balance Sheet'!R41</f>
        <v>69597</v>
      </c>
      <c r="L41" s="45">
        <f>'Balance Sheet'!X41</f>
        <v>22442</v>
      </c>
      <c r="M41" s="45">
        <f>'Balance Sheet'!AL41</f>
        <v>40104</v>
      </c>
      <c r="N41" s="43">
        <v>0</v>
      </c>
      <c r="O41" s="45">
        <v>885</v>
      </c>
      <c r="P41" s="45">
        <v>0</v>
      </c>
      <c r="Q41" s="45">
        <v>0</v>
      </c>
      <c r="R41" s="45">
        <f t="shared" si="17"/>
        <v>885</v>
      </c>
      <c r="S41" s="43">
        <v>903</v>
      </c>
      <c r="T41" s="44">
        <f>-'Cash Flow'!F41</f>
        <v>1578</v>
      </c>
      <c r="U41" s="11"/>
      <c r="V41" s="10">
        <f t="shared" si="20"/>
        <v>0.82724357526760306</v>
      </c>
      <c r="W41" s="10">
        <f t="shared" si="21"/>
        <v>0.42414525089201027</v>
      </c>
      <c r="X41" s="10">
        <f t="shared" si="22"/>
        <v>0.37197958538458065</v>
      </c>
      <c r="Y41" s="10">
        <f t="shared" si="23"/>
        <v>0.41240233051804343</v>
      </c>
      <c r="Z41" s="10">
        <f t="shared" si="24"/>
        <v>0.31009747015660938</v>
      </c>
      <c r="AA41" s="10">
        <f t="shared" si="25"/>
        <v>0.28451741113770834</v>
      </c>
      <c r="AB41" s="10">
        <f t="shared" si="26"/>
        <v>0.31415818870935569</v>
      </c>
      <c r="AC41" s="10">
        <f t="shared" si="27"/>
        <v>1.9121781039172692</v>
      </c>
      <c r="AD41" s="10">
        <f t="shared" si="28"/>
        <v>0.18102791787002312</v>
      </c>
      <c r="AE41" s="50">
        <f>(I41+'Balance Sheet'!E41)/L41</f>
        <v>1.9373050530255771</v>
      </c>
      <c r="AF41" s="50">
        <f t="shared" si="29"/>
        <v>2.1838517066215131</v>
      </c>
      <c r="AG41" s="9">
        <f t="shared" si="30"/>
        <v>-34161</v>
      </c>
      <c r="AH41" s="50">
        <f t="shared" si="31"/>
        <v>0</v>
      </c>
      <c r="AI41" s="50">
        <f t="shared" si="32"/>
        <v>0</v>
      </c>
      <c r="AJ41" s="50">
        <f t="shared" si="33"/>
        <v>0</v>
      </c>
      <c r="AK41" s="50"/>
      <c r="AL41" s="50">
        <f t="shared" si="35"/>
        <v>1.7354129263913824</v>
      </c>
      <c r="AM41" s="10">
        <f t="shared" si="18"/>
        <v>3.5635246827153244E-2</v>
      </c>
      <c r="AN41" s="10">
        <f>'Balance Sheet'!J41/Ratios!K41</f>
        <v>0.10378320904636694</v>
      </c>
      <c r="AO41" s="10">
        <f>'Cash Flow'!E41/C41</f>
        <v>0.32527889435888169</v>
      </c>
      <c r="AP41" s="10">
        <f>('Cash Flow'!E41+'Cash Flow'!F41)/Ratios!C41</f>
        <v>0.28964364753172844</v>
      </c>
      <c r="AQ41" s="7">
        <v>3.99</v>
      </c>
    </row>
    <row r="42" spans="1:43" x14ac:dyDescent="0.35">
      <c r="A42" t="s">
        <v>59</v>
      </c>
      <c r="B42" s="1">
        <v>46022</v>
      </c>
      <c r="C42" s="40">
        <f>'Income Statement'!C42</f>
        <v>402836</v>
      </c>
      <c r="D42" s="40">
        <f>'Income Statement'!E42</f>
        <v>240301</v>
      </c>
      <c r="E42" s="41">
        <v>156375</v>
      </c>
      <c r="F42" s="40">
        <f>'Income Statement'!L42</f>
        <v>129039</v>
      </c>
      <c r="G42" s="40">
        <f>'Income Statement'!P42</f>
        <v>158826</v>
      </c>
      <c r="H42" s="40">
        <f>'Income Statement'!R42</f>
        <v>132170</v>
      </c>
      <c r="I42" s="40">
        <f>'Balance Sheet'!D42</f>
        <v>126843</v>
      </c>
      <c r="J42" s="40">
        <f>'Balance Sheet'!I42</f>
        <v>206038</v>
      </c>
      <c r="K42" s="40">
        <f>'Balance Sheet'!R42</f>
        <v>595281</v>
      </c>
      <c r="L42" s="40">
        <f>'Balance Sheet'!X42</f>
        <v>102745</v>
      </c>
      <c r="M42" s="40">
        <f>'Balance Sheet'!AL42</f>
        <v>415265</v>
      </c>
      <c r="N42" s="41">
        <v>736</v>
      </c>
      <c r="O42" s="40">
        <v>15954</v>
      </c>
      <c r="P42" s="40">
        <v>2500</v>
      </c>
      <c r="Q42" s="40">
        <v>48543</v>
      </c>
      <c r="R42" s="40">
        <f t="shared" si="17"/>
        <v>66997</v>
      </c>
      <c r="S42" s="41">
        <v>21136</v>
      </c>
      <c r="T42" s="42">
        <f>-'Cash Flow'!F42</f>
        <v>91447</v>
      </c>
      <c r="U42" s="4">
        <f t="shared" ref="U42:U60" si="36">(C42-C43)/C43</f>
        <v>0.15090081081544376</v>
      </c>
      <c r="V42" s="5">
        <f t="shared" si="20"/>
        <v>0.59652315086039975</v>
      </c>
      <c r="W42" s="5">
        <f t="shared" si="21"/>
        <v>0.38818526646079299</v>
      </c>
      <c r="X42" s="5">
        <f t="shared" si="22"/>
        <v>0.32032638592380025</v>
      </c>
      <c r="Y42" s="5">
        <f t="shared" si="23"/>
        <v>0.39426962833510409</v>
      </c>
      <c r="Z42" s="5">
        <f t="shared" si="24"/>
        <v>0.16783146336242177</v>
      </c>
      <c r="AA42" s="5">
        <f t="shared" si="25"/>
        <v>0.32809877965226542</v>
      </c>
      <c r="AB42" s="5">
        <f t="shared" si="26"/>
        <v>0.31827868951151672</v>
      </c>
      <c r="AC42" s="5">
        <f t="shared" si="27"/>
        <v>0.31867462733273916</v>
      </c>
      <c r="AD42" s="5">
        <f t="shared" si="28"/>
        <v>0.22202959610671263</v>
      </c>
      <c r="AE42" s="3">
        <f>(I42+'Balance Sheet'!E42)/L42</f>
        <v>1.8466008078251983</v>
      </c>
      <c r="AF42" s="3">
        <f t="shared" si="29"/>
        <v>2.0053335928755658</v>
      </c>
      <c r="AG42" s="2">
        <f t="shared" si="30"/>
        <v>-78300</v>
      </c>
      <c r="AH42" s="3">
        <f t="shared" si="31"/>
        <v>0.11689643962289141</v>
      </c>
      <c r="AI42" s="3">
        <f t="shared" si="32"/>
        <v>0.10466184283151649</v>
      </c>
      <c r="AJ42" s="3">
        <f t="shared" si="33"/>
        <v>8.1546362138217074E-2</v>
      </c>
      <c r="AK42" s="3">
        <f t="shared" si="34"/>
        <v>175.32472826086956</v>
      </c>
      <c r="AL42" s="3">
        <f t="shared" si="35"/>
        <v>1.4334966828410773</v>
      </c>
      <c r="AM42" s="5">
        <f t="shared" si="18"/>
        <v>0.22700801318650765</v>
      </c>
      <c r="AN42" s="5">
        <f>'Balance Sheet'!J42/Ratios!K42</f>
        <v>0.60526541246906918</v>
      </c>
      <c r="AO42" s="5">
        <f>'Cash Flow'!E42/C42</f>
        <v>0.40888351587246424</v>
      </c>
      <c r="AP42" s="5">
        <f>('Cash Flow'!E42+'Cash Flow'!F42)/Ratios!C42</f>
        <v>0.18187550268595656</v>
      </c>
      <c r="AQ42">
        <v>34.35</v>
      </c>
    </row>
    <row r="43" spans="1:43" x14ac:dyDescent="0.35">
      <c r="A43" t="s">
        <v>59</v>
      </c>
      <c r="B43" s="1">
        <v>45657</v>
      </c>
      <c r="C43" s="40">
        <f>'Income Statement'!C43</f>
        <v>350018</v>
      </c>
      <c r="D43" s="40">
        <f>'Income Statement'!E43</f>
        <v>203712</v>
      </c>
      <c r="E43" s="41">
        <v>129538</v>
      </c>
      <c r="F43" s="40">
        <f>'Income Statement'!L43</f>
        <v>112390</v>
      </c>
      <c r="G43" s="40">
        <f>'Income Statement'!P43</f>
        <v>119815</v>
      </c>
      <c r="H43" s="40">
        <f>'Income Statement'!R43</f>
        <v>100118</v>
      </c>
      <c r="I43" s="40">
        <f>'Balance Sheet'!D43</f>
        <v>95657</v>
      </c>
      <c r="J43" s="40">
        <f>'Balance Sheet'!I43</f>
        <v>163711</v>
      </c>
      <c r="K43" s="40">
        <f>'Balance Sheet'!R43</f>
        <v>450256</v>
      </c>
      <c r="L43" s="40">
        <f>'Balance Sheet'!X43</f>
        <v>89122</v>
      </c>
      <c r="M43" s="40">
        <f>'Balance Sheet'!AL43</f>
        <v>325084</v>
      </c>
      <c r="N43" s="41">
        <v>268</v>
      </c>
      <c r="O43" s="40">
        <v>14578</v>
      </c>
      <c r="P43" s="40">
        <v>1677</v>
      </c>
      <c r="Q43" s="40">
        <v>11882</v>
      </c>
      <c r="R43" s="40">
        <f>SUM(O43:Q43)</f>
        <v>28137</v>
      </c>
      <c r="S43" s="41">
        <v>15311</v>
      </c>
      <c r="T43" s="42">
        <f>-'Cash Flow'!F43</f>
        <v>52535</v>
      </c>
      <c r="U43" s="4">
        <f t="shared" si="36"/>
        <v>0.13866243322901553</v>
      </c>
      <c r="V43" s="5">
        <f t="shared" si="20"/>
        <v>0.58200435406179107</v>
      </c>
      <c r="W43" s="5">
        <f t="shared" si="21"/>
        <v>0.37008953825231844</v>
      </c>
      <c r="X43" s="5">
        <f t="shared" si="22"/>
        <v>0.32109777211457696</v>
      </c>
      <c r="Y43" s="5">
        <f t="shared" si="23"/>
        <v>0.34231096686456125</v>
      </c>
      <c r="Z43" s="5">
        <f t="shared" si="24"/>
        <v>0.16439510912657013</v>
      </c>
      <c r="AA43" s="5">
        <f t="shared" si="25"/>
        <v>0.28603671811164</v>
      </c>
      <c r="AB43" s="5">
        <f t="shared" si="26"/>
        <v>0.30797578472025694</v>
      </c>
      <c r="AC43" s="5">
        <f t="shared" si="27"/>
        <v>0.38918413190251833</v>
      </c>
      <c r="AD43" s="5">
        <f t="shared" si="28"/>
        <v>0.22235794747876764</v>
      </c>
      <c r="AE43" s="3">
        <f>(I43+'Balance Sheet'!E43)/L43</f>
        <v>1.6606112968739482</v>
      </c>
      <c r="AF43" s="3">
        <f t="shared" si="29"/>
        <v>1.8369313974102914</v>
      </c>
      <c r="AG43" s="2">
        <f t="shared" si="30"/>
        <v>-83775</v>
      </c>
      <c r="AH43" s="3">
        <f t="shared" si="31"/>
        <v>3.6550553087817302E-2</v>
      </c>
      <c r="AI43" s="3">
        <f t="shared" si="32"/>
        <v>3.5261717799421902E-2</v>
      </c>
      <c r="AJ43" s="3">
        <f t="shared" si="33"/>
        <v>2.6389431789915072E-2</v>
      </c>
      <c r="AK43" s="3">
        <f t="shared" si="34"/>
        <v>419.36567164179104</v>
      </c>
      <c r="AL43" s="3">
        <f t="shared" si="35"/>
        <v>1.3850450960367167</v>
      </c>
      <c r="AM43" s="5">
        <f t="shared" si="18"/>
        <v>0.15009228096840735</v>
      </c>
      <c r="AN43" s="5">
        <f>'Balance Sheet'!J43/Ratios!K43</f>
        <v>0.58636420169858927</v>
      </c>
      <c r="AO43" s="5">
        <f>'Cash Flow'!E43/C43</f>
        <v>0.35797873252232743</v>
      </c>
      <c r="AP43" s="5">
        <f>('Cash Flow'!E43+'Cash Flow'!F43)/Ratios!C43</f>
        <v>0.20788645155392008</v>
      </c>
      <c r="AQ43">
        <v>26.62</v>
      </c>
    </row>
    <row r="44" spans="1:43" x14ac:dyDescent="0.35">
      <c r="A44" t="s">
        <v>59</v>
      </c>
      <c r="B44" s="1">
        <v>45291</v>
      </c>
      <c r="C44" s="40">
        <f>'Income Statement'!C44</f>
        <v>307394</v>
      </c>
      <c r="D44" s="40">
        <f>'Income Statement'!E44</f>
        <v>175022</v>
      </c>
      <c r="E44" s="41">
        <v>100172</v>
      </c>
      <c r="F44" s="40">
        <f>'Income Statement'!L44</f>
        <v>84293</v>
      </c>
      <c r="G44" s="40">
        <f>'Income Statement'!P44</f>
        <v>85717</v>
      </c>
      <c r="H44" s="40">
        <f>'Income Statement'!R44</f>
        <v>73795</v>
      </c>
      <c r="I44" s="40">
        <f>'Balance Sheet'!D44</f>
        <v>110916</v>
      </c>
      <c r="J44" s="40">
        <f>'Balance Sheet'!I44</f>
        <v>171530</v>
      </c>
      <c r="K44" s="40">
        <f>'Balance Sheet'!R44</f>
        <v>402392</v>
      </c>
      <c r="L44" s="40">
        <f>'Balance Sheet'!X44</f>
        <v>81814</v>
      </c>
      <c r="M44" s="40">
        <f>'Balance Sheet'!AL44</f>
        <v>283379</v>
      </c>
      <c r="N44" s="41">
        <v>308</v>
      </c>
      <c r="O44" s="40">
        <v>15251</v>
      </c>
      <c r="P44" s="40">
        <v>1666</v>
      </c>
      <c r="Q44" s="40">
        <f>13000-130</f>
        <v>12870</v>
      </c>
      <c r="R44" s="40">
        <f t="shared" si="17"/>
        <v>29787</v>
      </c>
      <c r="S44" s="41">
        <v>11946</v>
      </c>
      <c r="T44" s="42">
        <f>-'Cash Flow'!F44</f>
        <v>32251</v>
      </c>
      <c r="U44" s="4">
        <f t="shared" si="36"/>
        <v>8.6827702272695137E-2</v>
      </c>
      <c r="V44" s="5">
        <f t="shared" si="20"/>
        <v>0.56937350761563332</v>
      </c>
      <c r="W44" s="5">
        <f t="shared" si="21"/>
        <v>0.32587493575020982</v>
      </c>
      <c r="X44" s="5">
        <f t="shared" si="22"/>
        <v>0.27421810445226646</v>
      </c>
      <c r="Y44" s="5">
        <f t="shared" si="23"/>
        <v>0.2788505956524851</v>
      </c>
      <c r="Z44" s="5">
        <f t="shared" si="24"/>
        <v>0.13908559562280529</v>
      </c>
      <c r="AA44" s="5">
        <f t="shared" si="25"/>
        <v>0.24006649446638517</v>
      </c>
      <c r="AB44" s="5">
        <f t="shared" si="26"/>
        <v>0.26041096905557576</v>
      </c>
      <c r="AC44" s="5">
        <f t="shared" si="27"/>
        <v>0.39156036910947795</v>
      </c>
      <c r="AD44" s="5">
        <f t="shared" si="28"/>
        <v>0.18339082287918249</v>
      </c>
      <c r="AE44" s="3">
        <f>(I44+'Balance Sheet'!E44)/L44</f>
        <v>1.941965922702716</v>
      </c>
      <c r="AF44" s="3">
        <f t="shared" si="29"/>
        <v>2.0965849365634242</v>
      </c>
      <c r="AG44" s="2">
        <f t="shared" si="30"/>
        <v>-98046</v>
      </c>
      <c r="AH44" s="3">
        <f t="shared" si="31"/>
        <v>4.5416209387428144E-2</v>
      </c>
      <c r="AI44" s="3">
        <f t="shared" si="32"/>
        <v>4.3443184618344705E-2</v>
      </c>
      <c r="AJ44" s="3">
        <f t="shared" si="33"/>
        <v>3.1983737251237598E-2</v>
      </c>
      <c r="AK44" s="3">
        <f t="shared" si="34"/>
        <v>273.67857142857144</v>
      </c>
      <c r="AL44" s="3">
        <f t="shared" si="35"/>
        <v>1.4199781917502707</v>
      </c>
      <c r="AM44" s="5">
        <f t="shared" si="18"/>
        <v>0.10491746748472644</v>
      </c>
      <c r="AN44" s="5">
        <f>'Balance Sheet'!J44/Ratios!K44</f>
        <v>0.53652657110479329</v>
      </c>
      <c r="AO44" s="5">
        <f>'Cash Flow'!E44/C44</f>
        <v>0.33099540004033912</v>
      </c>
      <c r="AP44" s="5">
        <f>('Cash Flow'!E44+'Cash Flow'!F44)/Ratios!C44</f>
        <v>0.22607793255561268</v>
      </c>
      <c r="AQ44">
        <v>22.74</v>
      </c>
    </row>
    <row r="45" spans="1:43" x14ac:dyDescent="0.35">
      <c r="A45" t="s">
        <v>59</v>
      </c>
      <c r="B45" s="1">
        <v>44926</v>
      </c>
      <c r="C45" s="40">
        <f>'Income Statement'!C45</f>
        <v>282836</v>
      </c>
      <c r="D45" s="40">
        <f>'Income Statement'!E45</f>
        <v>156633</v>
      </c>
      <c r="E45" s="41">
        <v>90771</v>
      </c>
      <c r="F45" s="40">
        <f>'Income Statement'!L45</f>
        <v>74842</v>
      </c>
      <c r="G45" s="40">
        <f>'Income Statement'!P45</f>
        <v>71328</v>
      </c>
      <c r="H45" s="40">
        <f>'Income Statement'!R45</f>
        <v>59972</v>
      </c>
      <c r="I45" s="40">
        <f>'Balance Sheet'!D45</f>
        <v>113762</v>
      </c>
      <c r="J45" s="40">
        <f>'Balance Sheet'!I45</f>
        <v>164795</v>
      </c>
      <c r="K45" s="40">
        <f>'Balance Sheet'!R45</f>
        <v>365264</v>
      </c>
      <c r="L45" s="40">
        <f>'Balance Sheet'!X45</f>
        <v>69300</v>
      </c>
      <c r="M45" s="40">
        <f>'Balance Sheet'!AL45</f>
        <v>256144</v>
      </c>
      <c r="N45" s="41">
        <v>357</v>
      </c>
      <c r="O45" s="40">
        <v>14978</v>
      </c>
      <c r="P45" s="40">
        <v>2142</v>
      </c>
      <c r="Q45" s="40">
        <v>12857</v>
      </c>
      <c r="R45" s="40">
        <f t="shared" si="17"/>
        <v>29977</v>
      </c>
      <c r="S45" s="41">
        <v>15287</v>
      </c>
      <c r="T45" s="42">
        <f>-'Cash Flow'!F45</f>
        <v>31485</v>
      </c>
      <c r="U45" s="4">
        <f t="shared" si="36"/>
        <v>9.7808156437157706E-2</v>
      </c>
      <c r="V45" s="5">
        <f t="shared" si="20"/>
        <v>0.55379442503783116</v>
      </c>
      <c r="W45" s="5">
        <f t="shared" si="21"/>
        <v>0.320931564581595</v>
      </c>
      <c r="X45" s="5">
        <f t="shared" si="22"/>
        <v>0.26461270842467011</v>
      </c>
      <c r="Y45" s="5">
        <f t="shared" si="23"/>
        <v>0.25218854742677738</v>
      </c>
      <c r="Z45" s="5">
        <f t="shared" si="24"/>
        <v>0.1592081650964558</v>
      </c>
      <c r="AA45" s="5">
        <f t="shared" si="25"/>
        <v>0.21203807153261961</v>
      </c>
      <c r="AB45" s="5">
        <f t="shared" si="26"/>
        <v>0.23413392466737459</v>
      </c>
      <c r="AC45" s="5">
        <f t="shared" si="27"/>
        <v>0.40535266593994457</v>
      </c>
      <c r="AD45" s="5">
        <f t="shared" si="28"/>
        <v>0.16418809409084936</v>
      </c>
      <c r="AE45" s="3">
        <f>(I45+'Balance Sheet'!E45)/L45</f>
        <v>2.2225108225108223</v>
      </c>
      <c r="AF45" s="3">
        <f t="shared" si="29"/>
        <v>2.3779942279942281</v>
      </c>
      <c r="AG45" s="2">
        <f t="shared" si="30"/>
        <v>-100905</v>
      </c>
      <c r="AH45" s="3">
        <f t="shared" si="31"/>
        <v>5.0194421887688176E-2</v>
      </c>
      <c r="AI45" s="3">
        <f t="shared" si="32"/>
        <v>4.7795361355533993E-2</v>
      </c>
      <c r="AJ45" s="3">
        <f t="shared" si="33"/>
        <v>3.5199198388015246E-2</v>
      </c>
      <c r="AK45" s="3">
        <f t="shared" si="34"/>
        <v>209.64145658263305</v>
      </c>
      <c r="AL45" s="3">
        <f t="shared" si="35"/>
        <v>1.4260103691673434</v>
      </c>
      <c r="AM45" s="5">
        <f t="shared" si="18"/>
        <v>0.11131892686928113</v>
      </c>
      <c r="AN45" s="5">
        <f>'Balance Sheet'!J45/Ratios!K45</f>
        <v>0.5094698628936879</v>
      </c>
      <c r="AO45" s="5">
        <f>'Cash Flow'!E45/C45</f>
        <v>0.32349135187882733</v>
      </c>
      <c r="AP45" s="5">
        <f>('Cash Flow'!E45+'Cash Flow'!F45)/Ratios!C45</f>
        <v>0.21217242500954617</v>
      </c>
      <c r="AQ45">
        <v>19.93</v>
      </c>
    </row>
    <row r="46" spans="1:43" x14ac:dyDescent="0.35">
      <c r="A46" t="s">
        <v>59</v>
      </c>
      <c r="B46" s="1">
        <v>44561</v>
      </c>
      <c r="C46" s="40">
        <f>'Income Statement'!C46</f>
        <v>257637</v>
      </c>
      <c r="D46" s="40">
        <f>'Income Statement'!E46</f>
        <v>146698</v>
      </c>
      <c r="E46" s="41">
        <v>91144</v>
      </c>
      <c r="F46" s="40">
        <f>'Income Statement'!L46</f>
        <v>78714</v>
      </c>
      <c r="G46" s="40">
        <f>'Income Statement'!P46</f>
        <v>90734</v>
      </c>
      <c r="H46" s="40">
        <f>'Income Statement'!R46</f>
        <v>76033</v>
      </c>
      <c r="I46" s="40">
        <f>'Balance Sheet'!D46</f>
        <v>139649</v>
      </c>
      <c r="J46" s="40">
        <f>'Balance Sheet'!I46</f>
        <v>188143</v>
      </c>
      <c r="K46" s="40">
        <f>'Balance Sheet'!R46</f>
        <v>359268</v>
      </c>
      <c r="L46" s="40">
        <f>'Balance Sheet'!X46</f>
        <v>64254</v>
      </c>
      <c r="M46" s="40">
        <f>'Balance Sheet'!AL46</f>
        <v>251635.00099999999</v>
      </c>
      <c r="N46" s="41">
        <v>346</v>
      </c>
      <c r="O46" s="40">
        <v>13578</v>
      </c>
      <c r="P46" s="40">
        <v>2086</v>
      </c>
      <c r="Q46" s="40">
        <v>12844</v>
      </c>
      <c r="R46" s="40">
        <f t="shared" si="17"/>
        <v>28508</v>
      </c>
      <c r="S46" s="41">
        <v>11555</v>
      </c>
      <c r="T46" s="42">
        <f>-'Cash Flow'!F46</f>
        <v>24640</v>
      </c>
      <c r="U46" s="4">
        <f t="shared" si="36"/>
        <v>0.41150076427049148</v>
      </c>
      <c r="V46" s="5">
        <f t="shared" si="20"/>
        <v>0.5693980290098084</v>
      </c>
      <c r="W46" s="5">
        <f t="shared" si="21"/>
        <v>0.35376906267345143</v>
      </c>
      <c r="X46" s="5">
        <f t="shared" si="22"/>
        <v>0.3055228868524319</v>
      </c>
      <c r="Y46" s="5">
        <f t="shared" si="23"/>
        <v>0.35217767634307184</v>
      </c>
      <c r="Z46" s="5">
        <f t="shared" si="24"/>
        <v>0.16202305640663919</v>
      </c>
      <c r="AA46" s="5">
        <f t="shared" si="25"/>
        <v>0.29511677282377918</v>
      </c>
      <c r="AB46" s="5">
        <f t="shared" si="26"/>
        <v>0.30215589921053948</v>
      </c>
      <c r="AC46" s="5">
        <f t="shared" si="27"/>
        <v>0.52840276063129898</v>
      </c>
      <c r="AD46" s="5">
        <f t="shared" si="28"/>
        <v>0.21163309841121392</v>
      </c>
      <c r="AE46" s="3">
        <f>(I46+'Balance Sheet'!E46)/L46</f>
        <v>2.8001213932206555</v>
      </c>
      <c r="AF46" s="3">
        <f t="shared" si="29"/>
        <v>2.9281134248451459</v>
      </c>
      <c r="AG46" s="2">
        <f t="shared" si="30"/>
        <v>-126805</v>
      </c>
      <c r="AH46" s="3">
        <f t="shared" si="31"/>
        <v>5.1042183913039982E-2</v>
      </c>
      <c r="AI46" s="3">
        <f t="shared" si="32"/>
        <v>4.8563401825614125E-2</v>
      </c>
      <c r="AJ46" s="3">
        <f t="shared" si="33"/>
        <v>3.5750470400926326E-2</v>
      </c>
      <c r="AK46" s="3">
        <f t="shared" si="34"/>
        <v>227.49710982658959</v>
      </c>
      <c r="AL46" s="3">
        <f t="shared" si="35"/>
        <v>1.4277346099400536</v>
      </c>
      <c r="AM46" s="5">
        <f t="shared" si="18"/>
        <v>9.5638437025737766E-2</v>
      </c>
      <c r="AN46" s="5">
        <f>'Balance Sheet'!J46/Ratios!K46</f>
        <v>0.44526926973735487</v>
      </c>
      <c r="AO46" s="5">
        <f>'Cash Flow'!E46/C46</f>
        <v>0.35574082915109245</v>
      </c>
      <c r="AP46" s="5">
        <f>('Cash Flow'!E46+'Cash Flow'!F46)/Ratios!C46</f>
        <v>0.26010239212535469</v>
      </c>
      <c r="AQ46">
        <v>19</v>
      </c>
    </row>
    <row r="47" spans="1:43" x14ac:dyDescent="0.35">
      <c r="A47" t="s">
        <v>59</v>
      </c>
      <c r="B47" s="1">
        <v>44196</v>
      </c>
      <c r="C47" s="40">
        <f>'Income Statement'!C47</f>
        <v>182527</v>
      </c>
      <c r="D47" s="40">
        <f>'Income Statement'!E47</f>
        <v>97795</v>
      </c>
      <c r="E47" s="41">
        <v>54903</v>
      </c>
      <c r="F47" s="40">
        <f>'Income Statement'!L47</f>
        <v>41224</v>
      </c>
      <c r="G47" s="40">
        <f>'Income Statement'!P47</f>
        <v>48082</v>
      </c>
      <c r="H47" s="40">
        <f>'Income Statement'!R47</f>
        <v>40269</v>
      </c>
      <c r="I47" s="40">
        <f>'Balance Sheet'!D47</f>
        <v>136694</v>
      </c>
      <c r="J47" s="40">
        <f>'Balance Sheet'!I47</f>
        <v>174296</v>
      </c>
      <c r="K47" s="40">
        <f>'Balance Sheet'!R47</f>
        <v>319616</v>
      </c>
      <c r="L47" s="40">
        <f>'Balance Sheet'!X47</f>
        <v>56834</v>
      </c>
      <c r="M47" s="40">
        <f>'Balance Sheet'!AL47</f>
        <v>222544.00099999999</v>
      </c>
      <c r="N47" s="41">
        <v>135</v>
      </c>
      <c r="O47" s="40">
        <v>12840</v>
      </c>
      <c r="P47" s="40">
        <v>1201</v>
      </c>
      <c r="Q47" s="40">
        <v>13831</v>
      </c>
      <c r="R47" s="40">
        <f>SUM(O47:Q47)</f>
        <v>27872</v>
      </c>
      <c r="S47" s="41">
        <v>12905</v>
      </c>
      <c r="T47" s="42">
        <f>-'Cash Flow'!F47</f>
        <v>22281</v>
      </c>
      <c r="U47" s="4">
        <f t="shared" si="36"/>
        <v>0.12770532012826136</v>
      </c>
      <c r="V47" s="5">
        <f t="shared" si="20"/>
        <v>0.53578374706207854</v>
      </c>
      <c r="W47" s="5">
        <f t="shared" si="21"/>
        <v>0.30079385515567558</v>
      </c>
      <c r="X47" s="5">
        <f t="shared" si="22"/>
        <v>0.22585151785763202</v>
      </c>
      <c r="Y47" s="5">
        <f t="shared" si="23"/>
        <v>0.26342404137470071</v>
      </c>
      <c r="Z47" s="5">
        <f t="shared" si="24"/>
        <v>0.16249324071378063</v>
      </c>
      <c r="AA47" s="5">
        <f t="shared" si="25"/>
        <v>0.22061941520980458</v>
      </c>
      <c r="AB47" s="5">
        <f t="shared" si="26"/>
        <v>0.18094848577832481</v>
      </c>
      <c r="AC47" s="5">
        <f t="shared" si="27"/>
        <v>0.34635866713271779</v>
      </c>
      <c r="AD47" s="5">
        <f t="shared" si="28"/>
        <v>0.12599181517821387</v>
      </c>
      <c r="AE47" s="3">
        <f>(I47+'Balance Sheet'!E47)/L47</f>
        <v>2.9573494739064645</v>
      </c>
      <c r="AF47" s="3">
        <f t="shared" si="29"/>
        <v>3.0667558151810534</v>
      </c>
      <c r="AG47" s="2">
        <f t="shared" si="30"/>
        <v>-122863</v>
      </c>
      <c r="AH47" s="3">
        <f t="shared" si="31"/>
        <v>6.2149507233852604E-2</v>
      </c>
      <c r="AI47" s="3">
        <f t="shared" si="32"/>
        <v>5.8512955860336523E-2</v>
      </c>
      <c r="AJ47" s="3">
        <f t="shared" si="33"/>
        <v>4.3273803564277132E-2</v>
      </c>
      <c r="AK47" s="3">
        <f t="shared" si="34"/>
        <v>305.36296296296297</v>
      </c>
      <c r="AL47" s="3">
        <f t="shared" si="35"/>
        <v>1.4361923869608151</v>
      </c>
      <c r="AM47" s="5">
        <f t="shared" si="18"/>
        <v>0.12206961161910293</v>
      </c>
      <c r="AN47" s="5">
        <f>'Balance Sheet'!J47/Ratios!K47</f>
        <v>0.43387377352823386</v>
      </c>
      <c r="AO47" s="5">
        <f>'Cash Flow'!E47/C47</f>
        <v>0.35679105009121936</v>
      </c>
      <c r="AP47" s="5">
        <f>('Cash Flow'!E47+'Cash Flow'!F47)/Ratios!C47</f>
        <v>0.23472143847211646</v>
      </c>
      <c r="AQ47">
        <v>16.48</v>
      </c>
    </row>
    <row r="48" spans="1:43" x14ac:dyDescent="0.35">
      <c r="A48" t="s">
        <v>59</v>
      </c>
      <c r="B48" s="1">
        <v>43830</v>
      </c>
      <c r="C48" s="40">
        <f>'Income Statement'!C48</f>
        <v>161857</v>
      </c>
      <c r="D48" s="40">
        <f>'Income Statement'!E48</f>
        <v>89961</v>
      </c>
      <c r="E48" s="41">
        <v>47579</v>
      </c>
      <c r="F48" s="40">
        <f>'Income Statement'!L48</f>
        <v>34231</v>
      </c>
      <c r="G48" s="40">
        <f>'Income Statement'!P48</f>
        <v>39625</v>
      </c>
      <c r="H48" s="40">
        <f>'Income Statement'!R48</f>
        <v>34343</v>
      </c>
      <c r="I48" s="40">
        <f>'Balance Sheet'!D48</f>
        <v>119675</v>
      </c>
      <c r="J48" s="40">
        <f>'Balance Sheet'!I48</f>
        <v>152578</v>
      </c>
      <c r="K48" s="40">
        <f>'Balance Sheet'!R48</f>
        <v>275909</v>
      </c>
      <c r="L48" s="40">
        <f>'Balance Sheet'!X48</f>
        <v>45221</v>
      </c>
      <c r="M48" s="40">
        <f>'Balance Sheet'!AL48</f>
        <v>201442</v>
      </c>
      <c r="N48" s="41">
        <v>100</v>
      </c>
      <c r="O48" s="40">
        <v>11413</v>
      </c>
      <c r="P48" s="40">
        <v>711</v>
      </c>
      <c r="Q48" s="40">
        <v>4000</v>
      </c>
      <c r="R48" s="40">
        <f t="shared" si="17"/>
        <v>16124</v>
      </c>
      <c r="S48" s="41">
        <v>10856</v>
      </c>
      <c r="T48" s="42">
        <f>-'Cash Flow'!F48</f>
        <v>23548</v>
      </c>
      <c r="U48" s="4">
        <f t="shared" si="36"/>
        <v>0.18300089899794619</v>
      </c>
      <c r="V48" s="5">
        <f t="shared" si="20"/>
        <v>0.5558054331910266</v>
      </c>
      <c r="W48" s="5">
        <f t="shared" si="21"/>
        <v>0.29395701143602071</v>
      </c>
      <c r="X48" s="5">
        <f t="shared" si="22"/>
        <v>0.21148915400631421</v>
      </c>
      <c r="Y48" s="5">
        <f t="shared" si="23"/>
        <v>0.24481486744471972</v>
      </c>
      <c r="Z48" s="5">
        <f t="shared" si="24"/>
        <v>0.13329968454258675</v>
      </c>
      <c r="AA48" s="5">
        <f t="shared" si="25"/>
        <v>0.21218112284300339</v>
      </c>
      <c r="AB48" s="5">
        <f t="shared" si="26"/>
        <v>0.17048579740074066</v>
      </c>
      <c r="AC48" s="5">
        <f t="shared" si="27"/>
        <v>0.34591414528224973</v>
      </c>
      <c r="AD48" s="5">
        <f t="shared" si="28"/>
        <v>0.1244721991671167</v>
      </c>
      <c r="AE48" s="3">
        <f>(I48+'Balance Sheet'!E48)/L48</f>
        <v>3.2543950819309613</v>
      </c>
      <c r="AF48" s="3">
        <f t="shared" si="29"/>
        <v>3.3740518785520002</v>
      </c>
      <c r="AG48" s="2">
        <f t="shared" si="30"/>
        <v>-115675</v>
      </c>
      <c r="AH48" s="3">
        <f t="shared" si="31"/>
        <v>1.9856832239552823E-2</v>
      </c>
      <c r="AI48" s="3">
        <f t="shared" si="32"/>
        <v>1.947021543793382E-2</v>
      </c>
      <c r="AJ48" s="3">
        <f t="shared" si="33"/>
        <v>1.4497533607095093E-2</v>
      </c>
      <c r="AK48" s="3">
        <f t="shared" si="34"/>
        <v>342.31</v>
      </c>
      <c r="AL48" s="3">
        <f t="shared" si="35"/>
        <v>1.369669681595695</v>
      </c>
      <c r="AM48" s="5">
        <f t="shared" si="18"/>
        <v>0.14548644791389931</v>
      </c>
      <c r="AN48" s="5">
        <f>'Balance Sheet'!J48/Ratios!K48</f>
        <v>0.41734049994744643</v>
      </c>
      <c r="AO48" s="5">
        <f>'Cash Flow'!E48/C48</f>
        <v>0.33684054443119543</v>
      </c>
      <c r="AP48" s="5">
        <f>('Cash Flow'!E48+'Cash Flow'!F48)/Ratios!C48</f>
        <v>0.19135409651729612</v>
      </c>
      <c r="AQ48">
        <v>14.63</v>
      </c>
    </row>
    <row r="49" spans="1:43" x14ac:dyDescent="0.35">
      <c r="A49" t="s">
        <v>59</v>
      </c>
      <c r="B49" s="1">
        <v>43465</v>
      </c>
      <c r="C49" s="40">
        <f>'Income Statement'!C49</f>
        <v>136819</v>
      </c>
      <c r="D49" s="40">
        <f>'Income Statement'!E49</f>
        <v>77270</v>
      </c>
      <c r="E49" s="41">
        <v>40421</v>
      </c>
      <c r="F49" s="40">
        <f>'Income Statement'!L49</f>
        <v>26321</v>
      </c>
      <c r="G49" s="40">
        <f>'Income Statement'!P49</f>
        <v>34913</v>
      </c>
      <c r="H49" s="40">
        <f>'Income Statement'!R49</f>
        <v>30736</v>
      </c>
      <c r="I49" s="40">
        <f>'Balance Sheet'!D49</f>
        <v>109140</v>
      </c>
      <c r="J49" s="40">
        <f>'Balance Sheet'!I49</f>
        <v>135676</v>
      </c>
      <c r="K49" s="40">
        <f>'Balance Sheet'!R49</f>
        <v>232792</v>
      </c>
      <c r="L49" s="40">
        <f>'Balance Sheet'!X49</f>
        <v>34620</v>
      </c>
      <c r="M49" s="40">
        <f>'Balance Sheet'!AL49</f>
        <v>177628</v>
      </c>
      <c r="N49" s="41">
        <v>114</v>
      </c>
      <c r="O49" s="40">
        <v>10047</v>
      </c>
      <c r="P49" s="40">
        <v>62</v>
      </c>
      <c r="Q49" s="40">
        <v>3950</v>
      </c>
      <c r="R49" s="40">
        <f t="shared" si="17"/>
        <v>14059</v>
      </c>
      <c r="S49" s="41">
        <v>8164</v>
      </c>
      <c r="T49" s="42">
        <f>-'Cash Flow'!F49</f>
        <v>25139</v>
      </c>
      <c r="U49" s="4">
        <f t="shared" si="36"/>
        <v>0.23421586757475982</v>
      </c>
      <c r="V49" s="5">
        <f t="shared" si="20"/>
        <v>0.5647607422945643</v>
      </c>
      <c r="W49" s="5">
        <f t="shared" si="21"/>
        <v>0.29543411368304112</v>
      </c>
      <c r="X49" s="5">
        <f t="shared" si="22"/>
        <v>0.19237825155862856</v>
      </c>
      <c r="Y49" s="5">
        <f t="shared" si="23"/>
        <v>0.255176547116994</v>
      </c>
      <c r="Z49" s="5">
        <f t="shared" si="24"/>
        <v>0.1196402486179933</v>
      </c>
      <c r="AA49" s="5">
        <f t="shared" si="25"/>
        <v>0.22464716157843576</v>
      </c>
      <c r="AB49" s="5">
        <f t="shared" si="26"/>
        <v>0.17303578264687999</v>
      </c>
      <c r="AC49" s="5">
        <f t="shared" si="27"/>
        <v>0.3198866481146056</v>
      </c>
      <c r="AD49" s="5">
        <f t="shared" si="28"/>
        <v>0.13203202859204782</v>
      </c>
      <c r="AE49" s="3">
        <f>(I49+'Balance Sheet'!E49)/L49</f>
        <v>3.764673599075679</v>
      </c>
      <c r="AF49" s="3">
        <f t="shared" si="29"/>
        <v>3.919006354708261</v>
      </c>
      <c r="AG49" s="2">
        <f t="shared" si="30"/>
        <v>-105190</v>
      </c>
      <c r="AH49" s="3">
        <f t="shared" si="31"/>
        <v>2.2237485081180897E-2</v>
      </c>
      <c r="AI49" s="3">
        <f t="shared" si="32"/>
        <v>2.1753736686162421E-2</v>
      </c>
      <c r="AJ49" s="3">
        <f t="shared" si="33"/>
        <v>1.6967937042510053E-2</v>
      </c>
      <c r="AK49" s="3">
        <f t="shared" si="34"/>
        <v>230.88596491228071</v>
      </c>
      <c r="AL49" s="3">
        <f t="shared" si="35"/>
        <v>1.3105591460805728</v>
      </c>
      <c r="AM49" s="5">
        <f t="shared" si="18"/>
        <v>0.18373910056351822</v>
      </c>
      <c r="AN49" s="5">
        <f>'Balance Sheet'!J49/Ratios!K49</f>
        <v>0.35442369153579162</v>
      </c>
      <c r="AO49" s="5">
        <f>'Cash Flow'!E49/C49</f>
        <v>0.35061650794114851</v>
      </c>
      <c r="AP49" s="5">
        <f>('Cash Flow'!E49+'Cash Flow'!F49)/Ratios!C49</f>
        <v>0.16687740737763029</v>
      </c>
      <c r="AQ49">
        <v>12.77</v>
      </c>
    </row>
    <row r="50" spans="1:43" x14ac:dyDescent="0.35">
      <c r="A50" t="s">
        <v>59</v>
      </c>
      <c r="B50" s="1">
        <v>43100</v>
      </c>
      <c r="C50" s="40">
        <f>'Income Statement'!C50</f>
        <v>110855</v>
      </c>
      <c r="D50" s="40">
        <f>'Income Statement'!E50</f>
        <v>65272</v>
      </c>
      <c r="E50" s="41">
        <v>35781</v>
      </c>
      <c r="F50" s="40">
        <f>'Income Statement'!L50</f>
        <v>26146</v>
      </c>
      <c r="G50" s="40">
        <f>'Income Statement'!P50</f>
        <v>27193</v>
      </c>
      <c r="H50" s="40">
        <f>'Income Statement'!R50</f>
        <v>12662</v>
      </c>
      <c r="I50" s="40">
        <f>'Balance Sheet'!D50</f>
        <v>101871</v>
      </c>
      <c r="J50" s="40">
        <f>'Balance Sheet'!I50</f>
        <v>124308</v>
      </c>
      <c r="K50" s="40">
        <f>'Balance Sheet'!R50</f>
        <v>197295</v>
      </c>
      <c r="L50" s="40">
        <f>'Balance Sheet'!X50</f>
        <v>24183</v>
      </c>
      <c r="M50" s="40">
        <f>'Balance Sheet'!AL50</f>
        <v>152501.99900000001</v>
      </c>
      <c r="N50" s="41">
        <v>109</v>
      </c>
      <c r="O50" s="40">
        <v>8753</v>
      </c>
      <c r="P50" s="40">
        <v>26</v>
      </c>
      <c r="Q50" s="40">
        <v>3943</v>
      </c>
      <c r="R50" s="40">
        <f t="shared" si="17"/>
        <v>12722</v>
      </c>
      <c r="S50" s="41">
        <v>6103</v>
      </c>
      <c r="T50" s="42">
        <f>-'Cash Flow'!F50</f>
        <v>13184</v>
      </c>
      <c r="U50" s="4">
        <f t="shared" si="36"/>
        <v>0.22801090038993266</v>
      </c>
      <c r="V50" s="5">
        <f t="shared" si="20"/>
        <v>0.58880519597672631</v>
      </c>
      <c r="W50" s="5">
        <f t="shared" si="21"/>
        <v>0.32277299174597446</v>
      </c>
      <c r="X50" s="5">
        <f t="shared" si="22"/>
        <v>0.23585765188760091</v>
      </c>
      <c r="Y50" s="5">
        <f t="shared" si="23"/>
        <v>0.24530242208290109</v>
      </c>
      <c r="Z50" s="5">
        <f t="shared" si="24"/>
        <v>0.53436546169970212</v>
      </c>
      <c r="AA50" s="5">
        <f t="shared" si="25"/>
        <v>0.11422128005051645</v>
      </c>
      <c r="AB50" s="5">
        <f t="shared" si="26"/>
        <v>8.3028419843860529E-2</v>
      </c>
      <c r="AC50" s="5">
        <f t="shared" si="27"/>
        <v>0.22308206951078638</v>
      </c>
      <c r="AD50" s="5">
        <f t="shared" si="28"/>
        <v>6.417800755214273E-2</v>
      </c>
      <c r="AE50" s="3">
        <f>(I50+'Balance Sheet'!E50)/L50</f>
        <v>4.985981888103213</v>
      </c>
      <c r="AF50" s="3">
        <f t="shared" si="29"/>
        <v>5.1403051730554523</v>
      </c>
      <c r="AG50" s="2">
        <f t="shared" si="30"/>
        <v>-97928</v>
      </c>
      <c r="AH50" s="3">
        <f t="shared" si="31"/>
        <v>2.5855398787264419E-2</v>
      </c>
      <c r="AI50" s="3">
        <f t="shared" si="32"/>
        <v>2.5203745886437697E-2</v>
      </c>
      <c r="AJ50" s="3">
        <f t="shared" si="33"/>
        <v>1.9985301198712589E-2</v>
      </c>
      <c r="AK50" s="3">
        <f t="shared" si="34"/>
        <v>239.87155963302752</v>
      </c>
      <c r="AL50" s="3">
        <f t="shared" si="35"/>
        <v>1.2937207465719842</v>
      </c>
      <c r="AM50" s="5">
        <f t="shared" si="18"/>
        <v>0.11893013395877497</v>
      </c>
      <c r="AN50" s="5">
        <f>'Balance Sheet'!J50/Ratios!K50</f>
        <v>0.30232393116906153</v>
      </c>
      <c r="AO50" s="5">
        <f>'Cash Flow'!E50/C50</f>
        <v>0.3345902304812593</v>
      </c>
      <c r="AP50" s="5">
        <f>('Cash Flow'!E50+'Cash Flow'!F50)/Ratios!C50</f>
        <v>0.21566009652248433</v>
      </c>
      <c r="AQ50">
        <v>10.97</v>
      </c>
    </row>
    <row r="51" spans="1:43" x14ac:dyDescent="0.35">
      <c r="A51" t="s">
        <v>59</v>
      </c>
      <c r="B51" s="1">
        <v>42735</v>
      </c>
      <c r="C51" s="40">
        <f>'Income Statement'!C51</f>
        <v>90272</v>
      </c>
      <c r="D51" s="40">
        <f>'Income Statement'!E51</f>
        <v>55134</v>
      </c>
      <c r="E51" s="41">
        <v>29816</v>
      </c>
      <c r="F51" s="40">
        <f>'Income Statement'!L51</f>
        <v>23716</v>
      </c>
      <c r="G51" s="40">
        <f>'Income Statement'!P51</f>
        <v>24150</v>
      </c>
      <c r="H51" s="40">
        <f>'Income Statement'!R51</f>
        <v>19478</v>
      </c>
      <c r="I51" s="40">
        <f>'Balance Sheet'!D51</f>
        <v>86333</v>
      </c>
      <c r="J51" s="40">
        <f>'Balance Sheet'!I51</f>
        <v>105408</v>
      </c>
      <c r="K51" s="40">
        <f>'Balance Sheet'!R51</f>
        <v>167497</v>
      </c>
      <c r="L51" s="40">
        <f>'Balance Sheet'!X51</f>
        <v>16756</v>
      </c>
      <c r="M51" s="40">
        <f>'Balance Sheet'!AL51</f>
        <v>139036</v>
      </c>
      <c r="N51" s="41">
        <v>124</v>
      </c>
      <c r="O51" s="40">
        <v>7937</v>
      </c>
      <c r="P51" s="40">
        <v>0</v>
      </c>
      <c r="Q51" s="40">
        <v>3935</v>
      </c>
      <c r="R51" s="40">
        <f t="shared" si="17"/>
        <v>11872</v>
      </c>
      <c r="S51" s="41">
        <v>5267</v>
      </c>
      <c r="T51" s="42">
        <f>-'Cash Flow'!F51</f>
        <v>10212</v>
      </c>
      <c r="U51" s="4">
        <f t="shared" si="36"/>
        <v>0.20380322447292271</v>
      </c>
      <c r="V51" s="5">
        <f t="shared" si="20"/>
        <v>0.61075416518964909</v>
      </c>
      <c r="W51" s="5">
        <f t="shared" si="21"/>
        <v>0.33029067706487059</v>
      </c>
      <c r="X51" s="5">
        <f t="shared" si="22"/>
        <v>0.26271712158808935</v>
      </c>
      <c r="Y51" s="5">
        <f t="shared" si="23"/>
        <v>0.26752481389578164</v>
      </c>
      <c r="Z51" s="5">
        <f t="shared" si="24"/>
        <v>0.19345755693581781</v>
      </c>
      <c r="AA51" s="5">
        <f t="shared" si="25"/>
        <v>0.2157701169797944</v>
      </c>
      <c r="AB51" s="5">
        <f t="shared" si="26"/>
        <v>0.14009321326850599</v>
      </c>
      <c r="AC51" s="5">
        <f t="shared" si="27"/>
        <v>0.33772309367756886</v>
      </c>
      <c r="AD51" s="5">
        <f t="shared" si="28"/>
        <v>0.11628864994596919</v>
      </c>
      <c r="AE51" s="3">
        <f>(I51+'Balance Sheet'!E51)/L51</f>
        <v>6.0017307233229884</v>
      </c>
      <c r="AF51" s="3">
        <f t="shared" si="29"/>
        <v>6.2907615182621148</v>
      </c>
      <c r="AG51" s="2">
        <f t="shared" si="30"/>
        <v>-82398</v>
      </c>
      <c r="AH51" s="3">
        <f t="shared" si="31"/>
        <v>2.8302022497770363E-2</v>
      </c>
      <c r="AI51" s="3">
        <f t="shared" si="32"/>
        <v>2.7523064117898035E-2</v>
      </c>
      <c r="AJ51" s="3">
        <f t="shared" si="33"/>
        <v>2.3492958082831333E-2</v>
      </c>
      <c r="AK51" s="3">
        <f t="shared" si="34"/>
        <v>191.25806451612902</v>
      </c>
      <c r="AL51" s="3">
        <f t="shared" si="35"/>
        <v>1.2047023792399092</v>
      </c>
      <c r="AM51" s="5">
        <f t="shared" si="18"/>
        <v>0.11312477844735909</v>
      </c>
      <c r="AN51" s="5">
        <f>'Balance Sheet'!J51/Ratios!K51</f>
        <v>0.28374836564236972</v>
      </c>
      <c r="AO51" s="5">
        <f>'Cash Flow'!E51/C51</f>
        <v>0.39919354838709675</v>
      </c>
      <c r="AP51" s="5">
        <f>('Cash Flow'!E51+'Cash Flow'!F51)/Ratios!C51</f>
        <v>0.28606876993973768</v>
      </c>
      <c r="AQ51">
        <v>10.06</v>
      </c>
    </row>
    <row r="52" spans="1:43" x14ac:dyDescent="0.35">
      <c r="A52" t="s">
        <v>59</v>
      </c>
      <c r="B52" s="1">
        <v>42369</v>
      </c>
      <c r="C52" s="40">
        <f>'Income Statement'!C52</f>
        <v>74989</v>
      </c>
      <c r="D52" s="40">
        <f>'Income Statement'!E52</f>
        <v>46825</v>
      </c>
      <c r="E52" s="41">
        <v>24384</v>
      </c>
      <c r="F52" s="40">
        <f>'Income Statement'!L52</f>
        <v>19360</v>
      </c>
      <c r="G52" s="40">
        <f>'Income Statement'!P52</f>
        <v>19651</v>
      </c>
      <c r="H52" s="40">
        <f>'Income Statement'!R52</f>
        <v>16348</v>
      </c>
      <c r="I52" s="40">
        <f>'Balance Sheet'!D52</f>
        <v>73066</v>
      </c>
      <c r="J52" s="40">
        <f>'Balance Sheet'!I52</f>
        <v>90114</v>
      </c>
      <c r="K52" s="40">
        <f>'Balance Sheet'!R52</f>
        <v>147461</v>
      </c>
      <c r="L52" s="40">
        <f>'Balance Sheet'!X52</f>
        <v>19310</v>
      </c>
      <c r="M52" s="40">
        <f>'Balance Sheet'!AL52</f>
        <v>120331</v>
      </c>
      <c r="N52" s="41">
        <v>104</v>
      </c>
      <c r="O52" s="40">
        <v>7406</v>
      </c>
      <c r="P52" s="40">
        <v>225</v>
      </c>
      <c r="Q52" s="40">
        <v>2995</v>
      </c>
      <c r="R52" s="40">
        <f t="shared" si="17"/>
        <v>10626</v>
      </c>
      <c r="S52" s="41">
        <v>4132</v>
      </c>
      <c r="T52" s="42">
        <f>-'Cash Flow'!F52</f>
        <v>9915</v>
      </c>
      <c r="U52" s="4">
        <f t="shared" si="36"/>
        <v>0.13617975485219921</v>
      </c>
      <c r="V52" s="5">
        <f t="shared" si="20"/>
        <v>0.62442491565429592</v>
      </c>
      <c r="W52" s="5">
        <f t="shared" si="21"/>
        <v>0.32516769126138501</v>
      </c>
      <c r="X52" s="5">
        <f t="shared" si="22"/>
        <v>0.25817119844243824</v>
      </c>
      <c r="Y52" s="5">
        <f t="shared" si="23"/>
        <v>0.26205176759258025</v>
      </c>
      <c r="Z52" s="5">
        <f t="shared" si="24"/>
        <v>0.16808304920869166</v>
      </c>
      <c r="AA52" s="5">
        <f t="shared" si="25"/>
        <v>0.21800530744509194</v>
      </c>
      <c r="AB52" s="5">
        <f t="shared" si="26"/>
        <v>0.13585859005576287</v>
      </c>
      <c r="AC52" s="5">
        <f t="shared" si="27"/>
        <v>0.3204518935001936</v>
      </c>
      <c r="AD52" s="5">
        <f t="shared" si="28"/>
        <v>0.11086321128976476</v>
      </c>
      <c r="AE52" s="3">
        <f>(I52+'Balance Sheet'!E52)/L52</f>
        <v>4.50414293112377</v>
      </c>
      <c r="AF52" s="3">
        <f t="shared" si="29"/>
        <v>4.6667011910926979</v>
      </c>
      <c r="AG52" s="2">
        <f t="shared" si="30"/>
        <v>-70071</v>
      </c>
      <c r="AH52" s="3">
        <f t="shared" si="31"/>
        <v>2.4889679301260688E-2</v>
      </c>
      <c r="AI52" s="3">
        <f t="shared" si="32"/>
        <v>2.4285227770299855E-2</v>
      </c>
      <c r="AJ52" s="3">
        <f t="shared" si="33"/>
        <v>2.0310454967754184E-2</v>
      </c>
      <c r="AK52" s="3">
        <f t="shared" si="34"/>
        <v>186.15384615384616</v>
      </c>
      <c r="AL52" s="3">
        <f t="shared" si="35"/>
        <v>1.2254614355403013</v>
      </c>
      <c r="AM52" s="5">
        <f t="shared" si="18"/>
        <v>0.13221939217751938</v>
      </c>
      <c r="AN52" s="5">
        <f>'Balance Sheet'!J52/Ratios!K52</f>
        <v>0.27224825547093806</v>
      </c>
      <c r="AO52" s="5">
        <f>'Cash Flow'!E52/C52</f>
        <v>0.34703756550960807</v>
      </c>
      <c r="AP52" s="5">
        <f>('Cash Flow'!E52+'Cash Flow'!F52)/Ratios!C52</f>
        <v>0.21481817333208872</v>
      </c>
      <c r="AQ52">
        <v>8.75</v>
      </c>
    </row>
    <row r="53" spans="1:43" x14ac:dyDescent="0.35">
      <c r="A53" t="s">
        <v>59</v>
      </c>
      <c r="B53" s="1">
        <v>42004</v>
      </c>
      <c r="C53" s="40">
        <f>'Income Statement'!C53</f>
        <v>66001</v>
      </c>
      <c r="D53" s="40">
        <f>'Income Statement'!E53</f>
        <v>40688</v>
      </c>
      <c r="E53" s="41">
        <v>21476</v>
      </c>
      <c r="F53" s="40">
        <f>'Income Statement'!L53</f>
        <v>16496</v>
      </c>
      <c r="G53" s="40">
        <f>'Income Statement'!P53</f>
        <v>17259</v>
      </c>
      <c r="H53" s="40">
        <f>'Income Statement'!R53</f>
        <v>14136</v>
      </c>
      <c r="I53" s="40">
        <f>'Balance Sheet'!D53</f>
        <v>64395</v>
      </c>
      <c r="J53" s="40">
        <f>'Balance Sheet'!I53</f>
        <v>78656</v>
      </c>
      <c r="K53" s="40">
        <f>'Balance Sheet'!R53</f>
        <v>129187</v>
      </c>
      <c r="L53" s="40">
        <f>'Balance Sheet'!X53</f>
        <v>16779</v>
      </c>
      <c r="M53" s="40">
        <f>'Balance Sheet'!AL53</f>
        <v>103860</v>
      </c>
      <c r="N53" s="41">
        <v>101</v>
      </c>
      <c r="O53" s="40">
        <v>6183</v>
      </c>
      <c r="P53" s="40">
        <v>246</v>
      </c>
      <c r="Q53" s="40">
        <v>2992</v>
      </c>
      <c r="R53" s="40">
        <f t="shared" si="17"/>
        <v>9421</v>
      </c>
      <c r="S53" s="41">
        <v>3523</v>
      </c>
      <c r="T53" s="42">
        <f>-'Cash Flow'!F53</f>
        <v>10959</v>
      </c>
      <c r="U53" s="4">
        <f t="shared" si="36"/>
        <v>0.10323443376514835</v>
      </c>
      <c r="V53" s="5">
        <f t="shared" si="20"/>
        <v>0.61647550794684924</v>
      </c>
      <c r="W53" s="5">
        <f t="shared" si="21"/>
        <v>0.32538900925743547</v>
      </c>
      <c r="X53" s="5">
        <f t="shared" si="22"/>
        <v>0.24993560703625703</v>
      </c>
      <c r="Y53" s="5">
        <f t="shared" si="23"/>
        <v>0.26149603793881909</v>
      </c>
      <c r="Z53" s="5">
        <f t="shared" si="24"/>
        <v>0.18094907005040847</v>
      </c>
      <c r="AA53" s="5">
        <f t="shared" si="25"/>
        <v>0.21417857305192345</v>
      </c>
      <c r="AB53" s="5">
        <f t="shared" si="26"/>
        <v>0.13610629693818602</v>
      </c>
      <c r="AC53" s="5">
        <f t="shared" si="27"/>
        <v>0.31822936477962316</v>
      </c>
      <c r="AD53" s="5">
        <f t="shared" si="28"/>
        <v>0.10942277473739617</v>
      </c>
      <c r="AE53" s="3">
        <f>(I53+'Balance Sheet'!E53)/L53</f>
        <v>4.48441504261279</v>
      </c>
      <c r="AF53" s="3">
        <f t="shared" si="29"/>
        <v>4.6877644674891235</v>
      </c>
      <c r="AG53" s="2">
        <f t="shared" si="30"/>
        <v>-61403</v>
      </c>
      <c r="AH53" s="3">
        <f t="shared" si="31"/>
        <v>2.8808010783747354E-2</v>
      </c>
      <c r="AI53" s="3">
        <f t="shared" si="32"/>
        <v>2.8001347658443455E-2</v>
      </c>
      <c r="AJ53" s="3">
        <f t="shared" si="33"/>
        <v>2.3160225100048767E-2</v>
      </c>
      <c r="AK53" s="3">
        <f t="shared" si="34"/>
        <v>163.32673267326732</v>
      </c>
      <c r="AL53" s="3">
        <f t="shared" si="35"/>
        <v>1.2438571153475833</v>
      </c>
      <c r="AM53" s="5">
        <f t="shared" si="18"/>
        <v>0.16604293874335238</v>
      </c>
      <c r="AN53" s="5">
        <f>'Balance Sheet'!J53/Ratios!K53</f>
        <v>0.25347751708763266</v>
      </c>
      <c r="AO53" s="5">
        <f>'Cash Flow'!E53/C53</f>
        <v>0.33902516628535934</v>
      </c>
      <c r="AP53" s="5">
        <f>('Cash Flow'!E53+'Cash Flow'!F53)/Ratios!C53</f>
        <v>0.17298222754200693</v>
      </c>
      <c r="AQ53">
        <v>7.67</v>
      </c>
    </row>
    <row r="54" spans="1:43" x14ac:dyDescent="0.35">
      <c r="A54" t="s">
        <v>59</v>
      </c>
      <c r="B54" s="1">
        <v>41639</v>
      </c>
      <c r="C54" s="40">
        <v>59825</v>
      </c>
      <c r="D54" s="40">
        <f>C54-21993-3865</f>
        <v>33967</v>
      </c>
      <c r="E54" s="41">
        <v>18028</v>
      </c>
      <c r="F54" s="40">
        <v>13966</v>
      </c>
      <c r="G54" s="40">
        <v>14496</v>
      </c>
      <c r="H54" s="40">
        <v>12920</v>
      </c>
      <c r="I54" s="40">
        <f>'Balance Sheet'!D54</f>
        <v>58717</v>
      </c>
      <c r="J54" s="40">
        <f>'Balance Sheet'!I54</f>
        <v>72886</v>
      </c>
      <c r="K54" s="40">
        <f>'Balance Sheet'!R54</f>
        <v>110920</v>
      </c>
      <c r="L54" s="40">
        <f>'Balance Sheet'!X54</f>
        <v>15908</v>
      </c>
      <c r="M54" s="40">
        <f>'Balance Sheet'!AL54</f>
        <v>87309</v>
      </c>
      <c r="N54" s="41">
        <v>83</v>
      </c>
      <c r="O54" s="40">
        <v>4038</v>
      </c>
      <c r="P54" s="40">
        <v>255</v>
      </c>
      <c r="Q54" s="40">
        <v>2990</v>
      </c>
      <c r="R54" s="40">
        <f t="shared" si="17"/>
        <v>7283</v>
      </c>
      <c r="S54" s="41">
        <v>2781</v>
      </c>
      <c r="T54" s="42">
        <f>-'Cash Flow'!F54</f>
        <v>7358</v>
      </c>
      <c r="U54" s="4">
        <f t="shared" si="36"/>
        <v>0.19232685600398605</v>
      </c>
      <c r="V54" s="5">
        <f t="shared" si="20"/>
        <v>0.567772670288341</v>
      </c>
      <c r="W54" s="5">
        <f t="shared" si="21"/>
        <v>0.30134559130798161</v>
      </c>
      <c r="X54" s="5">
        <f t="shared" si="22"/>
        <v>0.23344755536982867</v>
      </c>
      <c r="Y54" s="5">
        <f t="shared" si="23"/>
        <v>0.2423067279565399</v>
      </c>
      <c r="Z54" s="5">
        <f t="shared" si="24"/>
        <v>0.108719646799117</v>
      </c>
      <c r="AA54" s="5">
        <f t="shared" si="25"/>
        <v>0.21596322607605517</v>
      </c>
      <c r="AB54" s="5">
        <f t="shared" si="26"/>
        <v>0.14798016241166431</v>
      </c>
      <c r="AC54" s="5">
        <f t="shared" si="27"/>
        <v>0.39413657820288561</v>
      </c>
      <c r="AD54" s="5">
        <f t="shared" si="28"/>
        <v>0.11648034619545619</v>
      </c>
      <c r="AE54" s="3">
        <f>(I54+'Balance Sheet'!E54)/L54</f>
        <v>4.2813050037716875</v>
      </c>
      <c r="AF54" s="3">
        <f t="shared" si="29"/>
        <v>4.5817198893638418</v>
      </c>
      <c r="AG54" s="2">
        <f t="shared" si="30"/>
        <v>-55727</v>
      </c>
      <c r="AH54" s="3">
        <f t="shared" si="31"/>
        <v>3.4246183096817054E-2</v>
      </c>
      <c r="AI54" s="3">
        <f t="shared" si="32"/>
        <v>3.3112216082127152E-2</v>
      </c>
      <c r="AJ54" s="3">
        <f t="shared" si="33"/>
        <v>2.695636494771006E-2</v>
      </c>
      <c r="AK54" s="3">
        <f t="shared" si="34"/>
        <v>168.26506024096386</v>
      </c>
      <c r="AL54" s="3">
        <f t="shared" si="35"/>
        <v>1.270430310735434</v>
      </c>
      <c r="AM54" s="5">
        <f t="shared" si="18"/>
        <v>0.12299206017551191</v>
      </c>
      <c r="AN54" s="5">
        <f>'Balance Sheet'!J54/Ratios!K54</f>
        <v>0.21490263252794808</v>
      </c>
      <c r="AO54" s="5">
        <f>'Cash Flow'!E54/C54</f>
        <v>0.31189302131216046</v>
      </c>
      <c r="AP54" s="5">
        <f>('Cash Flow'!E54+'Cash Flow'!F54)/Ratios!C54</f>
        <v>0.18890096113664856</v>
      </c>
      <c r="AQ54">
        <v>6.51</v>
      </c>
    </row>
    <row r="55" spans="1:43" x14ac:dyDescent="0.35">
      <c r="A55" t="s">
        <v>59</v>
      </c>
      <c r="B55" s="1">
        <v>41274</v>
      </c>
      <c r="C55" s="40">
        <v>50175</v>
      </c>
      <c r="D55" s="40">
        <f>C55-17176-3458</f>
        <v>29541</v>
      </c>
      <c r="E55" s="41">
        <v>16208</v>
      </c>
      <c r="F55" s="40">
        <v>12760</v>
      </c>
      <c r="G55" s="40">
        <v>13386</v>
      </c>
      <c r="H55" s="40">
        <f>'Income Statement'!R55</f>
        <v>10737</v>
      </c>
      <c r="I55" s="40">
        <f>'Balance Sheet'!D55</f>
        <v>48088</v>
      </c>
      <c r="J55" s="40">
        <f>'Balance Sheet'!I55</f>
        <v>60454</v>
      </c>
      <c r="K55" s="40">
        <f>'Balance Sheet'!R55</f>
        <v>93798</v>
      </c>
      <c r="L55" s="40">
        <f>'Balance Sheet'!X55</f>
        <v>14337</v>
      </c>
      <c r="M55" s="40">
        <f>'Balance Sheet'!AL55</f>
        <v>71715</v>
      </c>
      <c r="N55" s="41">
        <v>84</v>
      </c>
      <c r="O55" s="40">
        <v>3619</v>
      </c>
      <c r="P55" s="40">
        <v>0</v>
      </c>
      <c r="Q55" s="40">
        <v>2988</v>
      </c>
      <c r="R55" s="40">
        <f t="shared" si="17"/>
        <v>6607</v>
      </c>
      <c r="S55" s="41">
        <v>1988</v>
      </c>
      <c r="T55" s="42">
        <f>-'Cash Flow'!F55</f>
        <v>3273</v>
      </c>
      <c r="U55" s="4">
        <f t="shared" si="36"/>
        <v>0.32370399683419077</v>
      </c>
      <c r="V55" s="5">
        <f t="shared" si="20"/>
        <v>0.58875934230194316</v>
      </c>
      <c r="W55" s="5">
        <f t="shared" si="21"/>
        <v>0.32302939711011458</v>
      </c>
      <c r="X55" s="5">
        <f t="shared" si="22"/>
        <v>0.25430991529646241</v>
      </c>
      <c r="Y55" s="5">
        <f t="shared" si="23"/>
        <v>0.26678624813153962</v>
      </c>
      <c r="Z55" s="5">
        <f t="shared" si="24"/>
        <v>0.19789332138054683</v>
      </c>
      <c r="AA55" s="5">
        <f t="shared" si="25"/>
        <v>0.21399103139013453</v>
      </c>
      <c r="AB55" s="5">
        <f t="shared" si="26"/>
        <v>0.14971763229449905</v>
      </c>
      <c r="AC55" s="5">
        <f t="shared" si="27"/>
        <v>0.3845531173843405</v>
      </c>
      <c r="AD55" s="5">
        <f t="shared" si="28"/>
        <v>0.11446939167146421</v>
      </c>
      <c r="AE55" s="3">
        <f>(I55+'Balance Sheet'!E55)/L55</f>
        <v>3.9529190207156311</v>
      </c>
      <c r="AF55" s="3">
        <f t="shared" si="29"/>
        <v>4.2166422543070379</v>
      </c>
      <c r="AG55" s="2">
        <f t="shared" si="30"/>
        <v>-45100</v>
      </c>
      <c r="AH55" s="3">
        <f t="shared" si="31"/>
        <v>4.1664923656138886E-2</v>
      </c>
      <c r="AI55" s="3">
        <f t="shared" si="32"/>
        <v>3.9998393638809686E-2</v>
      </c>
      <c r="AJ55" s="3">
        <f t="shared" si="33"/>
        <v>3.185568988677797E-2</v>
      </c>
      <c r="AK55" s="3">
        <f t="shared" si="34"/>
        <v>151.9047619047619</v>
      </c>
      <c r="AL55" s="3">
        <f t="shared" si="35"/>
        <v>1.3079272118803598</v>
      </c>
      <c r="AM55" s="5">
        <f t="shared" si="18"/>
        <v>6.5231689088191325E-2</v>
      </c>
      <c r="AN55" s="5">
        <f>'Balance Sheet'!J55/Ratios!K55</f>
        <v>0.18867140024307555</v>
      </c>
      <c r="AO55" s="5">
        <f>'Cash Flow'!E55/C55</f>
        <v>0.33122072745391129</v>
      </c>
      <c r="AP55" s="5">
        <f>('Cash Flow'!E55+'Cash Flow'!F55)/Ratios!C55</f>
        <v>0.26598903836571997</v>
      </c>
      <c r="AQ55">
        <v>5.43</v>
      </c>
    </row>
    <row r="56" spans="1:43" x14ac:dyDescent="0.35">
      <c r="A56" t="s">
        <v>59</v>
      </c>
      <c r="B56" s="1">
        <v>40908</v>
      </c>
      <c r="C56" s="40">
        <v>37905</v>
      </c>
      <c r="D56" s="40">
        <f>C56-13188</f>
        <v>24717</v>
      </c>
      <c r="E56" s="41">
        <v>14079</v>
      </c>
      <c r="F56" s="40">
        <v>11742</v>
      </c>
      <c r="G56" s="40">
        <f>'Income Statement'!P56</f>
        <v>12326</v>
      </c>
      <c r="H56" s="40">
        <f>'Income Statement'!R56</f>
        <v>9737</v>
      </c>
      <c r="I56" s="40">
        <f>'Balance Sheet'!D56</f>
        <v>44626</v>
      </c>
      <c r="J56" s="40">
        <f>'Balance Sheet'!I56</f>
        <v>52758</v>
      </c>
      <c r="K56" s="40">
        <f>'Balance Sheet'!R56</f>
        <v>72574</v>
      </c>
      <c r="L56" s="40">
        <f>'Balance Sheet'!X56</f>
        <v>8913</v>
      </c>
      <c r="M56" s="40">
        <f>'Balance Sheet'!AL56</f>
        <v>58145</v>
      </c>
      <c r="N56" s="41">
        <v>58</v>
      </c>
      <c r="O56" s="40">
        <v>2879</v>
      </c>
      <c r="P56" s="40">
        <v>0</v>
      </c>
      <c r="Q56" s="40">
        <v>2986</v>
      </c>
      <c r="R56" s="40">
        <f t="shared" si="17"/>
        <v>5865</v>
      </c>
      <c r="S56" s="41">
        <v>1396</v>
      </c>
      <c r="T56" s="42">
        <f>-'Cash Flow'!F56</f>
        <v>3438</v>
      </c>
      <c r="U56" s="4">
        <f t="shared" si="36"/>
        <v>0.29275945568022921</v>
      </c>
      <c r="V56" s="5">
        <f t="shared" si="20"/>
        <v>0.65207756232686975</v>
      </c>
      <c r="W56" s="5">
        <f t="shared" si="21"/>
        <v>0.37142857142857144</v>
      </c>
      <c r="X56" s="5">
        <f t="shared" si="22"/>
        <v>0.30977443609022559</v>
      </c>
      <c r="Y56" s="5">
        <f t="shared" si="23"/>
        <v>0.3251813744888537</v>
      </c>
      <c r="Z56" s="5">
        <f t="shared" si="24"/>
        <v>0.2100438098328736</v>
      </c>
      <c r="AA56" s="5">
        <f t="shared" si="25"/>
        <v>0.25687903970452447</v>
      </c>
      <c r="AB56" s="5">
        <f t="shared" si="26"/>
        <v>0.16746065869808238</v>
      </c>
      <c r="AC56" s="5">
        <f t="shared" si="27"/>
        <v>0.56199125022371399</v>
      </c>
      <c r="AD56" s="5">
        <f t="shared" si="28"/>
        <v>0.13416650591120788</v>
      </c>
      <c r="AE56" s="3">
        <f>(I56+'Balance Sheet'!E56)/L56</f>
        <v>5.6993156064175921</v>
      </c>
      <c r="AF56" s="3">
        <f t="shared" si="29"/>
        <v>5.9192191181420402</v>
      </c>
      <c r="AG56" s="2">
        <f t="shared" si="30"/>
        <v>-41640</v>
      </c>
      <c r="AH56" s="3">
        <f t="shared" si="31"/>
        <v>5.135437268896724E-2</v>
      </c>
      <c r="AI56" s="3">
        <f t="shared" si="32"/>
        <v>4.884592105478399E-2</v>
      </c>
      <c r="AJ56" s="3">
        <f t="shared" si="33"/>
        <v>4.1144211425579412E-2</v>
      </c>
      <c r="AK56" s="3">
        <f t="shared" si="34"/>
        <v>202.44827586206895</v>
      </c>
      <c r="AL56" s="3">
        <f t="shared" si="35"/>
        <v>1.2481554733855018</v>
      </c>
      <c r="AM56" s="5">
        <f t="shared" si="18"/>
        <v>9.0700435298773252E-2</v>
      </c>
      <c r="AN56" s="5">
        <f>'Balance Sheet'!J56/Ratios!K56</f>
        <v>0.19841816628544659</v>
      </c>
      <c r="AO56" s="5">
        <f>'Cash Flow'!E56/C56</f>
        <v>0.38425009893153939</v>
      </c>
      <c r="AP56" s="5">
        <f>('Cash Flow'!E56+'Cash Flow'!F56)/Ratios!C56</f>
        <v>0.29354966363276613</v>
      </c>
      <c r="AQ56">
        <v>4.47</v>
      </c>
    </row>
    <row r="57" spans="1:43" x14ac:dyDescent="0.35">
      <c r="A57" t="s">
        <v>59</v>
      </c>
      <c r="B57" s="1">
        <v>40543</v>
      </c>
      <c r="C57" s="40">
        <f>'Income Statement'!C57</f>
        <v>29321</v>
      </c>
      <c r="D57" s="40">
        <f>'Income Statement'!E57</f>
        <v>18904</v>
      </c>
      <c r="E57" s="41">
        <v>11762</v>
      </c>
      <c r="F57" s="40">
        <f>'Income Statement'!L57</f>
        <v>10381</v>
      </c>
      <c r="G57" s="40">
        <f>'Income Statement'!P57</f>
        <v>10796</v>
      </c>
      <c r="H57" s="40">
        <f>'Income Statement'!R57</f>
        <v>8505</v>
      </c>
      <c r="I57" s="40">
        <f>'Balance Sheet'!D57</f>
        <v>34975</v>
      </c>
      <c r="J57" s="40">
        <f>'Balance Sheet'!I57</f>
        <v>41562</v>
      </c>
      <c r="K57" s="40">
        <f>'Balance Sheet'!R57</f>
        <v>57851</v>
      </c>
      <c r="L57" s="40">
        <f>'Balance Sheet'!X57</f>
        <v>9996</v>
      </c>
      <c r="M57" s="40">
        <f>'Balance Sheet'!AL57</f>
        <v>46241</v>
      </c>
      <c r="N57" s="41">
        <v>0</v>
      </c>
      <c r="O57" s="40">
        <v>2305</v>
      </c>
      <c r="P57" s="40">
        <v>0</v>
      </c>
      <c r="Q57" s="40">
        <v>3465</v>
      </c>
      <c r="R57" s="40">
        <f t="shared" si="17"/>
        <v>5770</v>
      </c>
      <c r="S57" s="41">
        <v>1067</v>
      </c>
      <c r="T57" s="42">
        <f>-'Cash Flow'!F57</f>
        <v>4018</v>
      </c>
      <c r="U57" s="4">
        <f t="shared" si="36"/>
        <v>0.23975907042889433</v>
      </c>
      <c r="V57" s="5">
        <f t="shared" si="20"/>
        <v>0.64472562327342176</v>
      </c>
      <c r="W57" s="5">
        <f t="shared" si="21"/>
        <v>0.40114593635960577</v>
      </c>
      <c r="X57" s="5">
        <f t="shared" si="22"/>
        <v>0.35404658776985776</v>
      </c>
      <c r="Y57" s="5">
        <f t="shared" si="23"/>
        <v>0.36820026602094064</v>
      </c>
      <c r="Z57" s="5">
        <f t="shared" si="24"/>
        <v>0.21220822526861802</v>
      </c>
      <c r="AA57" s="5">
        <f t="shared" si="25"/>
        <v>0.29006514102520375</v>
      </c>
      <c r="AB57" s="5">
        <f t="shared" si="26"/>
        <v>0.18392768322484376</v>
      </c>
      <c r="AC57" s="5">
        <f t="shared" si="27"/>
        <v>0.55516030232071667</v>
      </c>
      <c r="AD57" s="5">
        <f t="shared" si="28"/>
        <v>0.14701560906466613</v>
      </c>
      <c r="AE57" s="3">
        <f>(I57+'Balance Sheet'!E57)/L57</f>
        <v>3.9992997198879552</v>
      </c>
      <c r="AF57" s="3">
        <f t="shared" si="29"/>
        <v>4.1578631452581032</v>
      </c>
      <c r="AG57" s="2">
        <f t="shared" si="30"/>
        <v>-31510</v>
      </c>
      <c r="AH57" s="3">
        <f t="shared" si="31"/>
        <v>7.4933500573084497E-2</v>
      </c>
      <c r="AI57" s="3">
        <f t="shared" si="32"/>
        <v>6.9709894177765255E-2</v>
      </c>
      <c r="AJ57" s="3">
        <f t="shared" si="33"/>
        <v>5.9895248137456572E-2</v>
      </c>
      <c r="AK57" s="3"/>
      <c r="AL57" s="3">
        <f t="shared" si="35"/>
        <v>1.2510758850370882</v>
      </c>
      <c r="AM57" s="5">
        <f t="shared" si="18"/>
        <v>0.13703488966952013</v>
      </c>
      <c r="AN57" s="5">
        <f>'Balance Sheet'!J57/Ratios!K57</f>
        <v>0.20347098580836978</v>
      </c>
      <c r="AO57" s="5">
        <f>'Cash Flow'!E57/C57</f>
        <v>0.37792026192831074</v>
      </c>
      <c r="AP57" s="5">
        <f>('Cash Flow'!E57+'Cash Flow'!F57)/Ratios!C57</f>
        <v>0.24088537225879061</v>
      </c>
      <c r="AQ57">
        <v>3.6</v>
      </c>
    </row>
    <row r="58" spans="1:43" x14ac:dyDescent="0.35">
      <c r="A58" t="s">
        <v>59</v>
      </c>
      <c r="B58" s="1">
        <v>40178</v>
      </c>
      <c r="C58" s="40">
        <f>'Income Statement'!C58</f>
        <v>23650.562999999998</v>
      </c>
      <c r="D58" s="40">
        <f>'Income Statement'!E58</f>
        <v>14806.448</v>
      </c>
      <c r="E58" s="41">
        <v>9818.2000000000007</v>
      </c>
      <c r="F58" s="40">
        <f>'Income Statement'!L58</f>
        <v>8312.1859999999997</v>
      </c>
      <c r="G58" s="40">
        <f>'Income Statement'!P58</f>
        <v>8381.1890000000003</v>
      </c>
      <c r="H58" s="40">
        <f>'Income Statement'!R58</f>
        <v>6520.4480000000003</v>
      </c>
      <c r="I58" s="40">
        <f>'Balance Sheet'!D58</f>
        <v>24484.775000000001</v>
      </c>
      <c r="J58" s="40">
        <f>'Balance Sheet'!I58</f>
        <v>29166.957999999999</v>
      </c>
      <c r="K58" s="40">
        <f>'Balance Sheet'!R58</f>
        <v>40496.777999999998</v>
      </c>
      <c r="L58" s="40">
        <f>'Balance Sheet'!X58</f>
        <v>2747.4670000000001</v>
      </c>
      <c r="M58" s="40">
        <f>'Balance Sheet'!AL58</f>
        <v>36004.224000000002</v>
      </c>
      <c r="N58" s="41">
        <v>0</v>
      </c>
      <c r="O58" s="40">
        <v>2461</v>
      </c>
      <c r="P58" s="40">
        <v>0</v>
      </c>
      <c r="Q58" s="40">
        <v>0</v>
      </c>
      <c r="R58" s="40">
        <f>SUM(O58:Q58)</f>
        <v>2461</v>
      </c>
      <c r="S58" s="41">
        <v>1240</v>
      </c>
      <c r="T58" s="42">
        <f>-'Cash Flow'!F58</f>
        <v>809.88800000000003</v>
      </c>
      <c r="U58" s="4">
        <f t="shared" si="36"/>
        <v>8.5109712762467524E-2</v>
      </c>
      <c r="V58" s="5">
        <f t="shared" si="20"/>
        <v>0.62605055110104568</v>
      </c>
      <c r="W58" s="5">
        <f t="shared" si="21"/>
        <v>0.41513599485982644</v>
      </c>
      <c r="X58" s="5">
        <f t="shared" si="22"/>
        <v>0.35145827183902556</v>
      </c>
      <c r="Y58" s="5">
        <f t="shared" si="23"/>
        <v>0.35437587680259452</v>
      </c>
      <c r="Z58" s="5">
        <f t="shared" si="24"/>
        <v>0.22201396484436753</v>
      </c>
      <c r="AA58" s="5">
        <f t="shared" si="25"/>
        <v>0.2756994833484514</v>
      </c>
      <c r="AB58" s="5">
        <f t="shared" si="26"/>
        <v>0.1811023062182926</v>
      </c>
      <c r="AC58" s="5">
        <f t="shared" si="27"/>
        <v>0.56137794695008025</v>
      </c>
      <c r="AD58" s="5">
        <f t="shared" si="28"/>
        <v>0.16101152541073763</v>
      </c>
      <c r="AE58" s="3">
        <f>(I58+'Balance Sheet'!E58)/L58</f>
        <v>10.0770964674007</v>
      </c>
      <c r="AF58" s="3">
        <f t="shared" si="29"/>
        <v>10.615944795697272</v>
      </c>
      <c r="AG58" s="2">
        <f t="shared" si="30"/>
        <v>-24484.775000000001</v>
      </c>
      <c r="AH58" s="3">
        <f t="shared" si="31"/>
        <v>0</v>
      </c>
      <c r="AI58" s="3">
        <f t="shared" si="32"/>
        <v>0</v>
      </c>
      <c r="AJ58" s="3">
        <f t="shared" si="33"/>
        <v>0</v>
      </c>
      <c r="AK58" s="3"/>
      <c r="AL58" s="3">
        <f t="shared" si="35"/>
        <v>1.1247785259862841</v>
      </c>
      <c r="AM58" s="5">
        <f t="shared" si="18"/>
        <v>3.4243920535845178E-2</v>
      </c>
      <c r="AN58" s="5">
        <f>'Balance Sheet'!J58/Ratios!K58</f>
        <v>0.20075918138475116</v>
      </c>
      <c r="AO58" s="5">
        <f>'Cash Flow'!E58/C58</f>
        <v>0.39391019993900361</v>
      </c>
      <c r="AP58" s="5">
        <f>('Cash Flow'!E58+'Cash Flow'!F58)/Ratios!C58</f>
        <v>0.35966627940315837</v>
      </c>
      <c r="AQ58">
        <v>2.83</v>
      </c>
    </row>
    <row r="59" spans="1:43" x14ac:dyDescent="0.35">
      <c r="A59" t="s">
        <v>59</v>
      </c>
      <c r="B59" s="1">
        <v>39813</v>
      </c>
      <c r="C59" s="40">
        <f>'Income Statement'!C59</f>
        <v>21795.55</v>
      </c>
      <c r="D59" s="40">
        <f>'Income Statement'!E59</f>
        <v>13174.044</v>
      </c>
      <c r="E59" s="41">
        <v>8123.9</v>
      </c>
      <c r="F59" s="40">
        <f>'Income Statement'!L59</f>
        <v>5537.2120000000004</v>
      </c>
      <c r="G59" s="40">
        <f>'Income Statement'!P59</f>
        <v>5853.5959999999995</v>
      </c>
      <c r="H59" s="40">
        <f>'Income Statement'!R59</f>
        <v>4226.8580000000002</v>
      </c>
      <c r="I59" s="40">
        <f>'Balance Sheet'!D59</f>
        <v>15845.771000000001</v>
      </c>
      <c r="J59" s="40">
        <f>'Balance Sheet'!I59</f>
        <v>20178.182000000001</v>
      </c>
      <c r="K59" s="40">
        <f>'Balance Sheet'!R59</f>
        <v>31767.575000000001</v>
      </c>
      <c r="L59" s="40">
        <f>'Balance Sheet'!X59</f>
        <v>2302.09</v>
      </c>
      <c r="M59" s="40">
        <f>'Balance Sheet'!AL59</f>
        <v>28238.862000000001</v>
      </c>
      <c r="N59" s="41">
        <v>0</v>
      </c>
      <c r="O59" s="40">
        <v>2857</v>
      </c>
      <c r="P59" s="40">
        <v>0</v>
      </c>
      <c r="Q59" s="40">
        <v>0</v>
      </c>
      <c r="R59" s="40">
        <f t="shared" si="17"/>
        <v>2857</v>
      </c>
      <c r="S59" s="41">
        <v>1212</v>
      </c>
      <c r="T59" s="42">
        <f>-'Cash Flow'!F59</f>
        <v>2358.4609999999998</v>
      </c>
      <c r="U59" s="4">
        <f t="shared" si="36"/>
        <v>0.31346079236176277</v>
      </c>
      <c r="V59" s="5">
        <f t="shared" si="20"/>
        <v>0.60443732780315251</v>
      </c>
      <c r="W59" s="5">
        <f t="shared" si="21"/>
        <v>0.37273204851449032</v>
      </c>
      <c r="X59" s="5">
        <f t="shared" si="22"/>
        <v>0.25405240978089566</v>
      </c>
      <c r="Y59" s="5">
        <f t="shared" si="23"/>
        <v>0.26856840043036306</v>
      </c>
      <c r="Z59" s="5">
        <f t="shared" si="24"/>
        <v>0.27790404394153601</v>
      </c>
      <c r="AA59" s="5">
        <f t="shared" si="25"/>
        <v>0.19393215587585541</v>
      </c>
      <c r="AB59" s="5">
        <f t="shared" si="26"/>
        <v>0.14968230660286522</v>
      </c>
      <c r="AC59" s="5">
        <f t="shared" si="27"/>
        <v>0.32263124615468408</v>
      </c>
      <c r="AD59" s="5">
        <f t="shared" si="28"/>
        <v>0.13305573371590371</v>
      </c>
      <c r="AE59" s="3">
        <f>(I59+'Balance Sheet'!E59)/L59</f>
        <v>8.0309470958998119</v>
      </c>
      <c r="AF59" s="3">
        <f t="shared" si="29"/>
        <v>8.7651577479594618</v>
      </c>
      <c r="AG59" s="2">
        <f t="shared" si="30"/>
        <v>-15845.771000000001</v>
      </c>
      <c r="AH59" s="3">
        <f t="shared" si="31"/>
        <v>0</v>
      </c>
      <c r="AI59" s="3">
        <f t="shared" si="32"/>
        <v>0</v>
      </c>
      <c r="AJ59" s="3">
        <f t="shared" si="33"/>
        <v>0</v>
      </c>
      <c r="AK59" s="3"/>
      <c r="AL59" s="3">
        <f t="shared" si="35"/>
        <v>1.1249594618933298</v>
      </c>
      <c r="AM59" s="5">
        <f t="shared" si="18"/>
        <v>0.10820837281004608</v>
      </c>
      <c r="AN59" s="5">
        <f>'Balance Sheet'!J59/Ratios!K59</f>
        <v>0.23849160661460625</v>
      </c>
      <c r="AO59" s="5">
        <f>'Cash Flow'!E59/C59</f>
        <v>0.36029634489609119</v>
      </c>
      <c r="AP59" s="5">
        <f>('Cash Flow'!E59+'Cash Flow'!F59)/Ratios!C59</f>
        <v>0.25208797208604511</v>
      </c>
      <c r="AQ59">
        <v>2.2400000000000002</v>
      </c>
    </row>
    <row r="60" spans="1:43" x14ac:dyDescent="0.35">
      <c r="A60" t="s">
        <v>59</v>
      </c>
      <c r="B60" s="1">
        <v>39447</v>
      </c>
      <c r="C60" s="40">
        <f>'Income Statement'!C60</f>
        <v>16593.986000000001</v>
      </c>
      <c r="D60" s="40">
        <f>'Income Statement'!E60</f>
        <v>9944.9009999999998</v>
      </c>
      <c r="E60" s="41">
        <v>6052.1</v>
      </c>
      <c r="F60" s="40">
        <f>'Income Statement'!L60</f>
        <v>5084.3999999999996</v>
      </c>
      <c r="G60" s="40">
        <f>'Income Statement'!P60</f>
        <v>5673.98</v>
      </c>
      <c r="H60" s="40">
        <f>'Income Statement'!R60</f>
        <v>4203.72</v>
      </c>
      <c r="I60" s="40">
        <f>'Balance Sheet'!D60</f>
        <v>14218.612999999999</v>
      </c>
      <c r="J60" s="40">
        <f>'Balance Sheet'!I60</f>
        <v>17289.137999999999</v>
      </c>
      <c r="K60" s="40">
        <f>'Balance Sheet'!R60</f>
        <v>25335.806</v>
      </c>
      <c r="L60" s="40">
        <f>'Balance Sheet'!X60</f>
        <v>2035.6020000000001</v>
      </c>
      <c r="M60" s="40">
        <f>'Balance Sheet'!AL60</f>
        <v>22689.679</v>
      </c>
      <c r="N60" s="41">
        <v>1203</v>
      </c>
      <c r="O60" s="40">
        <v>2203</v>
      </c>
      <c r="P60" s="40">
        <v>0</v>
      </c>
      <c r="Q60" s="40">
        <v>0</v>
      </c>
      <c r="R60" s="40">
        <f t="shared" si="17"/>
        <v>2203</v>
      </c>
      <c r="S60" s="41">
        <v>808</v>
      </c>
      <c r="T60" s="42">
        <f>-'Cash Flow'!F60</f>
        <v>2402.84</v>
      </c>
      <c r="U60" s="4">
        <f t="shared" si="36"/>
        <v>0.56474454255511874</v>
      </c>
      <c r="V60" s="5">
        <f t="shared" si="20"/>
        <v>0.59930754431153543</v>
      </c>
      <c r="W60" s="5">
        <f t="shared" si="21"/>
        <v>0.36471647017178394</v>
      </c>
      <c r="X60" s="5">
        <f t="shared" si="22"/>
        <v>0.30640016208281717</v>
      </c>
      <c r="Y60" s="5">
        <f t="shared" si="23"/>
        <v>0.34192990159205866</v>
      </c>
      <c r="Z60" s="5">
        <f t="shared" si="24"/>
        <v>0.2591232256722793</v>
      </c>
      <c r="AA60" s="5">
        <f t="shared" si="25"/>
        <v>0.25332792253771941</v>
      </c>
      <c r="AB60" s="5">
        <f t="shared" si="26"/>
        <v>0.18527013978470125</v>
      </c>
      <c r="AC60" s="5">
        <f t="shared" si="27"/>
        <v>0.44468002862825795</v>
      </c>
      <c r="AD60" s="5">
        <f t="shared" si="28"/>
        <v>0.16592012111238932</v>
      </c>
      <c r="AE60" s="3">
        <f>(I60+'Balance Sheet'!E60)/L60</f>
        <v>8.1186730018932973</v>
      </c>
      <c r="AF60" s="3">
        <f t="shared" si="29"/>
        <v>8.4933783716070224</v>
      </c>
      <c r="AG60" s="2">
        <f t="shared" si="30"/>
        <v>-14218.612999999999</v>
      </c>
      <c r="AH60" s="3">
        <f t="shared" si="31"/>
        <v>0</v>
      </c>
      <c r="AI60" s="3">
        <f t="shared" si="32"/>
        <v>0</v>
      </c>
      <c r="AJ60" s="3">
        <f t="shared" si="33"/>
        <v>0</v>
      </c>
      <c r="AK60" s="3">
        <f t="shared" si="34"/>
        <v>4.2264339152119694</v>
      </c>
      <c r="AL60" s="3">
        <f t="shared" si="35"/>
        <v>1.1166224960696889</v>
      </c>
      <c r="AM60" s="5">
        <f t="shared" si="18"/>
        <v>0.14480185773327758</v>
      </c>
      <c r="AN60" s="5">
        <f>'Balance Sheet'!J60/Ratios!K60</f>
        <v>0.21786952426143458</v>
      </c>
      <c r="AO60" s="5">
        <f>'Cash Flow'!E60/C60</f>
        <v>0.34804235703224046</v>
      </c>
      <c r="AP60" s="5">
        <f>('Cash Flow'!E60+'Cash Flow'!F60)/Ratios!C60</f>
        <v>0.20324049929896287</v>
      </c>
      <c r="AQ60">
        <v>1.81</v>
      </c>
    </row>
    <row r="61" spans="1:43" x14ac:dyDescent="0.35">
      <c r="A61" s="7" t="s">
        <v>59</v>
      </c>
      <c r="B61" s="8">
        <v>39082</v>
      </c>
      <c r="C61" s="45">
        <f>'Income Statement'!C61</f>
        <v>10604.916999999999</v>
      </c>
      <c r="D61" s="45">
        <f>'Income Statement'!E61</f>
        <v>6379.89</v>
      </c>
      <c r="E61" s="43">
        <v>4121.8999999999996</v>
      </c>
      <c r="F61" s="45">
        <f>'Income Statement'!L61</f>
        <v>3549.9960000000001</v>
      </c>
      <c r="G61" s="45">
        <f>'Income Statement'!P61</f>
        <v>4011.04</v>
      </c>
      <c r="H61" s="45">
        <f>'Income Statement'!R61</f>
        <v>3077.4459999999999</v>
      </c>
      <c r="I61" s="45">
        <f>'Balance Sheet'!D61</f>
        <v>11243.914000000001</v>
      </c>
      <c r="J61" s="45">
        <f>'Balance Sheet'!I61</f>
        <v>13039.847</v>
      </c>
      <c r="K61" s="45">
        <f>'Balance Sheet'!R61</f>
        <v>18473.350999999999</v>
      </c>
      <c r="L61" s="45">
        <f>'Balance Sheet'!X61</f>
        <v>1304.587</v>
      </c>
      <c r="M61" s="45">
        <f>'Balance Sheet'!AL61</f>
        <v>17039.84</v>
      </c>
      <c r="N61" s="43">
        <v>257</v>
      </c>
      <c r="O61" s="45">
        <v>1168</v>
      </c>
      <c r="P61" s="45">
        <v>0</v>
      </c>
      <c r="Q61" s="45">
        <v>0</v>
      </c>
      <c r="R61" s="45">
        <f t="shared" si="17"/>
        <v>1168</v>
      </c>
      <c r="S61" s="43">
        <v>494</v>
      </c>
      <c r="T61" s="44">
        <f>-'Cash Flow'!F61</f>
        <v>1902.798</v>
      </c>
      <c r="U61" s="11"/>
      <c r="V61" s="10">
        <f t="shared" si="20"/>
        <v>0.60159735337862619</v>
      </c>
      <c r="W61" s="10">
        <f t="shared" si="21"/>
        <v>0.38867819521831237</v>
      </c>
      <c r="X61" s="10">
        <f t="shared" si="22"/>
        <v>0.334750003229634</v>
      </c>
      <c r="Y61" s="10">
        <f t="shared" si="23"/>
        <v>0.37822455376124114</v>
      </c>
      <c r="Z61" s="10">
        <f t="shared" si="24"/>
        <v>0.23275609318281545</v>
      </c>
      <c r="AA61" s="10">
        <f t="shared" si="25"/>
        <v>0.29019048428196093</v>
      </c>
      <c r="AB61" s="10">
        <f t="shared" si="26"/>
        <v>0.18060298688250592</v>
      </c>
      <c r="AC61" s="10">
        <f t="shared" si="27"/>
        <v>0.46993574456012349</v>
      </c>
      <c r="AD61" s="10">
        <f t="shared" si="28"/>
        <v>0.16658840077255069</v>
      </c>
      <c r="AE61" s="50">
        <f>(I61+'Balance Sheet'!E61)/L61</f>
        <v>9.6323618125889663</v>
      </c>
      <c r="AF61" s="50">
        <f t="shared" si="29"/>
        <v>9.9953832132314666</v>
      </c>
      <c r="AG61" s="9">
        <f t="shared" si="30"/>
        <v>-11243.914000000001</v>
      </c>
      <c r="AH61" s="50">
        <f t="shared" si="31"/>
        <v>0</v>
      </c>
      <c r="AI61" s="50">
        <f t="shared" si="32"/>
        <v>0</v>
      </c>
      <c r="AJ61" s="50">
        <f t="shared" si="33"/>
        <v>0</v>
      </c>
      <c r="AK61" s="50">
        <f t="shared" si="34"/>
        <v>13.813214007782102</v>
      </c>
      <c r="AL61" s="50">
        <f t="shared" si="35"/>
        <v>1.0841270223194583</v>
      </c>
      <c r="AM61" s="10">
        <f t="shared" si="18"/>
        <v>0.1794260153096908</v>
      </c>
      <c r="AN61" s="10">
        <f>'Balance Sheet'!J61/Ratios!K61</f>
        <v>0.17807272757389822</v>
      </c>
      <c r="AO61" s="10">
        <f>'Cash Flow'!E61/C61</f>
        <v>0.33762715917531461</v>
      </c>
      <c r="AP61" s="10">
        <f>('Cash Flow'!E61+'Cash Flow'!F61)/Ratios!C61</f>
        <v>0.15820114386562384</v>
      </c>
      <c r="AQ61" s="7">
        <v>1.38</v>
      </c>
    </row>
    <row r="62" spans="1:43" x14ac:dyDescent="0.35">
      <c r="A62" t="s">
        <v>60</v>
      </c>
      <c r="B62" s="1">
        <v>46022</v>
      </c>
      <c r="C62" s="40">
        <f>'Income Statement'!C62</f>
        <v>200966</v>
      </c>
      <c r="D62" s="40">
        <f>'Income Statement'!E62</f>
        <v>164791</v>
      </c>
      <c r="E62" s="41">
        <v>102129</v>
      </c>
      <c r="F62" s="40">
        <f>'Income Statement'!L62</f>
        <v>83276</v>
      </c>
      <c r="G62" s="40">
        <f>'Income Statement'!P62</f>
        <v>85932</v>
      </c>
      <c r="H62" s="40">
        <f>'Income Statement'!R62</f>
        <v>60458</v>
      </c>
      <c r="I62" s="40">
        <f>'Balance Sheet'!D62</f>
        <v>81592</v>
      </c>
      <c r="J62" s="40">
        <f>'Balance Sheet'!I62</f>
        <v>108722</v>
      </c>
      <c r="K62" s="40">
        <f>'Balance Sheet'!R62</f>
        <v>366021</v>
      </c>
      <c r="L62" s="40">
        <f>'Balance Sheet'!X62</f>
        <v>41836</v>
      </c>
      <c r="M62" s="40">
        <f>'Balance Sheet'!AL62</f>
        <v>217243</v>
      </c>
      <c r="N62" s="41">
        <v>1165</v>
      </c>
      <c r="O62" s="40">
        <v>25153</v>
      </c>
      <c r="P62" s="40">
        <v>1184</v>
      </c>
      <c r="Q62" s="40">
        <v>58744</v>
      </c>
      <c r="R62" s="40">
        <f t="shared" si="17"/>
        <v>85081</v>
      </c>
      <c r="S62" s="41">
        <v>18616</v>
      </c>
      <c r="T62" s="42">
        <f>-'Cash Flow'!F62</f>
        <v>69691</v>
      </c>
      <c r="U62" s="4">
        <f t="shared" ref="U62:U78" si="37">(C62-C63)/C63</f>
        <v>0.22167038498246211</v>
      </c>
      <c r="V62" s="5">
        <f t="shared" si="20"/>
        <v>0.81999442691798607</v>
      </c>
      <c r="W62" s="5">
        <f t="shared" si="21"/>
        <v>0.50819044017395976</v>
      </c>
      <c r="X62" s="5">
        <f t="shared" si="22"/>
        <v>0.41437855159579234</v>
      </c>
      <c r="Y62" s="5">
        <f t="shared" si="23"/>
        <v>0.42759471751440542</v>
      </c>
      <c r="Z62" s="5">
        <f t="shared" si="24"/>
        <v>0.29644369966950612</v>
      </c>
      <c r="AA62" s="5">
        <f t="shared" si="25"/>
        <v>0.30083695749529771</v>
      </c>
      <c r="AB62" s="5">
        <f t="shared" si="26"/>
        <v>0.27829665397734332</v>
      </c>
      <c r="AC62" s="5">
        <f t="shared" si="27"/>
        <v>0.30139332012820397</v>
      </c>
      <c r="AD62" s="5">
        <f t="shared" si="28"/>
        <v>0.16517631502017643</v>
      </c>
      <c r="AE62" s="3">
        <f>(I62+'Balance Sheet'!E62)/L62</f>
        <v>2.4228176689932117</v>
      </c>
      <c r="AF62" s="3">
        <f t="shared" si="29"/>
        <v>2.5987666124868536</v>
      </c>
      <c r="AG62" s="2">
        <f t="shared" si="30"/>
        <v>-22848</v>
      </c>
      <c r="AH62" s="3">
        <f t="shared" si="31"/>
        <v>0.27040687156778354</v>
      </c>
      <c r="AI62" s="3">
        <f t="shared" si="32"/>
        <v>0.21285060528213284</v>
      </c>
      <c r="AJ62" s="3">
        <f t="shared" si="33"/>
        <v>0.16049352359564067</v>
      </c>
      <c r="AK62" s="3">
        <f t="shared" si="34"/>
        <v>71.481545064377684</v>
      </c>
      <c r="AL62" s="3">
        <f t="shared" si="35"/>
        <v>1.6848460019425251</v>
      </c>
      <c r="AM62" s="5">
        <f t="shared" si="18"/>
        <v>0.34678005234716319</v>
      </c>
      <c r="AN62" s="5">
        <f>'Balance Sheet'!J62/Ratios!K62</f>
        <v>0.69430442515593371</v>
      </c>
      <c r="AO62" s="5">
        <f>'Cash Flow'!E62/C62</f>
        <v>0.57621687250579701</v>
      </c>
      <c r="AP62" s="5">
        <f>('Cash Flow'!E62+'Cash Flow'!F62)/Ratios!C62</f>
        <v>0.22943682015863379</v>
      </c>
      <c r="AQ62">
        <v>85.87</v>
      </c>
    </row>
    <row r="63" spans="1:43" x14ac:dyDescent="0.35">
      <c r="A63" t="s">
        <v>60</v>
      </c>
      <c r="B63" s="1">
        <v>45657</v>
      </c>
      <c r="C63" s="40">
        <f>'Income Statement'!C63</f>
        <v>164501</v>
      </c>
      <c r="D63" s="40">
        <f>'Income Statement'!E63</f>
        <v>134371</v>
      </c>
      <c r="E63" s="41">
        <v>85270</v>
      </c>
      <c r="F63" s="40">
        <f>'Income Statement'!L63</f>
        <v>69380</v>
      </c>
      <c r="G63" s="40">
        <f>'Income Statement'!P63</f>
        <v>70663</v>
      </c>
      <c r="H63" s="40">
        <f>'Income Statement'!R63</f>
        <v>62360</v>
      </c>
      <c r="I63" s="40">
        <f>'Balance Sheet'!D63</f>
        <v>77815</v>
      </c>
      <c r="J63" s="40">
        <f>'Balance Sheet'!I63</f>
        <v>100045</v>
      </c>
      <c r="K63" s="40">
        <f>'Balance Sheet'!R63</f>
        <v>276054</v>
      </c>
      <c r="L63" s="40">
        <f>'Balance Sheet'!X63</f>
        <v>33596</v>
      </c>
      <c r="M63" s="40">
        <f>'Balance Sheet'!AL63</f>
        <v>182637</v>
      </c>
      <c r="N63" s="41">
        <v>715</v>
      </c>
      <c r="O63" s="40">
        <v>20234</v>
      </c>
      <c r="P63" s="40">
        <v>709</v>
      </c>
      <c r="Q63" s="40">
        <v>28826</v>
      </c>
      <c r="R63" s="40">
        <f t="shared" si="17"/>
        <v>49769</v>
      </c>
      <c r="S63" s="41">
        <v>15498</v>
      </c>
      <c r="T63" s="42">
        <f>-'Cash Flow'!F63</f>
        <v>37256</v>
      </c>
      <c r="U63" s="4">
        <f t="shared" si="37"/>
        <v>0.21941112807816043</v>
      </c>
      <c r="V63" s="5">
        <f t="shared" si="20"/>
        <v>0.81684001920960969</v>
      </c>
      <c r="W63" s="5">
        <f t="shared" si="21"/>
        <v>0.51835551151664727</v>
      </c>
      <c r="X63" s="5">
        <f t="shared" si="22"/>
        <v>0.42176035404040096</v>
      </c>
      <c r="Y63" s="5">
        <f t="shared" si="23"/>
        <v>0.42955969872523569</v>
      </c>
      <c r="Z63" s="5">
        <f t="shared" si="24"/>
        <v>0.11750137978857393</v>
      </c>
      <c r="AA63" s="5">
        <f t="shared" si="25"/>
        <v>0.37908584142345642</v>
      </c>
      <c r="AB63" s="5">
        <f t="shared" si="26"/>
        <v>0.34144231453648494</v>
      </c>
      <c r="AC63" s="5">
        <f t="shared" si="27"/>
        <v>0.45812697736044494</v>
      </c>
      <c r="AD63" s="5">
        <f t="shared" si="28"/>
        <v>0.22589783158367566</v>
      </c>
      <c r="AE63" s="3">
        <f>(I63+'Balance Sheet'!E63)/L63</f>
        <v>2.8220323848077151</v>
      </c>
      <c r="AF63" s="3">
        <f t="shared" si="29"/>
        <v>2.9778842719371355</v>
      </c>
      <c r="AG63" s="2">
        <f t="shared" si="30"/>
        <v>-48989</v>
      </c>
      <c r="AH63" s="3">
        <f t="shared" si="31"/>
        <v>0.157832202675252</v>
      </c>
      <c r="AI63" s="3">
        <f t="shared" si="32"/>
        <v>0.1363169916250124</v>
      </c>
      <c r="AJ63" s="3">
        <f t="shared" si="33"/>
        <v>0.10442159867272345</v>
      </c>
      <c r="AK63" s="3">
        <f t="shared" si="34"/>
        <v>97.03496503496504</v>
      </c>
      <c r="AL63" s="3">
        <f t="shared" si="35"/>
        <v>1.5114900047635473</v>
      </c>
      <c r="AM63" s="5">
        <f t="shared" si="18"/>
        <v>0.22647886638986997</v>
      </c>
      <c r="AN63" s="5">
        <f>'Balance Sheet'!J63/Ratios!K63</f>
        <v>0.65054300970100054</v>
      </c>
      <c r="AO63" s="5">
        <f>'Cash Flow'!E63/C63</f>
        <v>0.55518203536756616</v>
      </c>
      <c r="AP63" s="5">
        <f>('Cash Flow'!E63+'Cash Flow'!F63)/Ratios!C63</f>
        <v>0.32870316897769619</v>
      </c>
      <c r="AQ63">
        <v>72.069999999999993</v>
      </c>
    </row>
    <row r="64" spans="1:43" x14ac:dyDescent="0.35">
      <c r="A64" t="s">
        <v>60</v>
      </c>
      <c r="B64" s="1">
        <v>45291</v>
      </c>
      <c r="C64" s="40">
        <f>'Income Statement'!C64</f>
        <v>134902</v>
      </c>
      <c r="D64" s="40">
        <f>'Income Statement'!E64</f>
        <v>108896</v>
      </c>
      <c r="E64" s="41">
        <v>61384</v>
      </c>
      <c r="F64" s="40">
        <f>'Income Statement'!L64</f>
        <v>46751</v>
      </c>
      <c r="G64" s="40">
        <f>'Income Statement'!P64</f>
        <v>47428</v>
      </c>
      <c r="H64" s="40">
        <f>'Income Statement'!R64</f>
        <v>39098</v>
      </c>
      <c r="I64" s="40">
        <f>'Balance Sheet'!D64</f>
        <v>65403</v>
      </c>
      <c r="J64" s="40">
        <f>'Balance Sheet'!I64</f>
        <v>85365</v>
      </c>
      <c r="K64" s="40">
        <f>'Balance Sheet'!R64</f>
        <v>229623</v>
      </c>
      <c r="L64" s="40">
        <f>'Balance Sheet'!X64</f>
        <v>31960</v>
      </c>
      <c r="M64" s="40">
        <f>'Balance Sheet'!AL64</f>
        <v>153168</v>
      </c>
      <c r="N64" s="41">
        <v>446</v>
      </c>
      <c r="O64" s="40">
        <v>18849</v>
      </c>
      <c r="P64" s="40">
        <v>690</v>
      </c>
      <c r="Q64" s="40">
        <v>18385</v>
      </c>
      <c r="R64" s="40">
        <f t="shared" si="17"/>
        <v>37924</v>
      </c>
      <c r="S64" s="41">
        <v>11178</v>
      </c>
      <c r="T64" s="42">
        <f>-'Cash Flow'!F64</f>
        <v>27266</v>
      </c>
      <c r="U64" s="4">
        <f t="shared" si="37"/>
        <v>0.15687468377226457</v>
      </c>
      <c r="V64" s="5">
        <f t="shared" si="20"/>
        <v>0.80722302115609845</v>
      </c>
      <c r="W64" s="5">
        <f t="shared" si="21"/>
        <v>0.45502661191086863</v>
      </c>
      <c r="X64" s="5">
        <f t="shared" si="22"/>
        <v>0.34655527716416362</v>
      </c>
      <c r="Y64" s="5">
        <f t="shared" si="23"/>
        <v>0.35157373500763517</v>
      </c>
      <c r="Z64" s="5">
        <f t="shared" si="24"/>
        <v>0.17563464620055663</v>
      </c>
      <c r="AA64" s="5">
        <f t="shared" si="25"/>
        <v>0.28982520644616094</v>
      </c>
      <c r="AB64" s="5">
        <f t="shared" si="26"/>
        <v>0.25526219575890524</v>
      </c>
      <c r="AC64" s="5">
        <f t="shared" si="27"/>
        <v>0.36307022755984714</v>
      </c>
      <c r="AD64" s="5">
        <f t="shared" si="28"/>
        <v>0.17027039974218611</v>
      </c>
      <c r="AE64" s="3">
        <f>(I64+'Balance Sheet'!E64)/L64</f>
        <v>2.5523153942428034</v>
      </c>
      <c r="AF64" s="3">
        <f t="shared" si="29"/>
        <v>2.6709949937421777</v>
      </c>
      <c r="AG64" s="2">
        <f t="shared" si="30"/>
        <v>-47018</v>
      </c>
      <c r="AH64" s="3">
        <f t="shared" si="31"/>
        <v>0.12003159928966886</v>
      </c>
      <c r="AI64" s="3">
        <f t="shared" si="32"/>
        <v>0.10716804719241284</v>
      </c>
      <c r="AJ64" s="3">
        <f t="shared" si="33"/>
        <v>8.0066021260936399E-2</v>
      </c>
      <c r="AK64" s="3">
        <f t="shared" si="34"/>
        <v>104.82286995515695</v>
      </c>
      <c r="AL64" s="3">
        <f t="shared" si="35"/>
        <v>1.4991577875274209</v>
      </c>
      <c r="AM64" s="5">
        <f t="shared" si="18"/>
        <v>0.20211709240782197</v>
      </c>
      <c r="AN64" s="5">
        <f>'Balance Sheet'!J64/Ratios!K64</f>
        <v>0.62282523963191838</v>
      </c>
      <c r="AO64" s="5">
        <f>'Cash Flow'!E64/C64</f>
        <v>0.52714563164371175</v>
      </c>
      <c r="AP64" s="5">
        <f>('Cash Flow'!E64+'Cash Flow'!F64)/Ratios!C64</f>
        <v>0.32502853923588976</v>
      </c>
      <c r="AQ64">
        <v>59.81</v>
      </c>
    </row>
    <row r="65" spans="1:43" x14ac:dyDescent="0.35">
      <c r="A65" t="s">
        <v>60</v>
      </c>
      <c r="B65" s="1">
        <v>44926</v>
      </c>
      <c r="C65" s="40">
        <f>'Income Statement'!C65</f>
        <v>116609</v>
      </c>
      <c r="D65" s="40">
        <f>C65-25249</f>
        <v>91360</v>
      </c>
      <c r="E65" s="41">
        <v>42241</v>
      </c>
      <c r="F65" s="40">
        <f>'Income Statement'!L65</f>
        <v>28944</v>
      </c>
      <c r="G65" s="40">
        <f>'Income Statement'!P65</f>
        <v>28819</v>
      </c>
      <c r="H65" s="40">
        <f>'Income Statement'!R65</f>
        <v>23200</v>
      </c>
      <c r="I65" s="40">
        <f>'Balance Sheet'!D65</f>
        <v>40738</v>
      </c>
      <c r="J65" s="40">
        <f>'Balance Sheet'!I65</f>
        <v>59549</v>
      </c>
      <c r="K65" s="40">
        <f>'Balance Sheet'!R65</f>
        <v>185727</v>
      </c>
      <c r="L65" s="40">
        <f>'Balance Sheet'!X65</f>
        <v>27026</v>
      </c>
      <c r="M65" s="40">
        <f>'Balance Sheet'!AL65</f>
        <v>125713</v>
      </c>
      <c r="N65" s="41">
        <v>160</v>
      </c>
      <c r="O65" s="40">
        <v>16668</v>
      </c>
      <c r="P65" s="40">
        <v>687</v>
      </c>
      <c r="Q65" s="40">
        <v>9923</v>
      </c>
      <c r="R65" s="40">
        <f t="shared" si="17"/>
        <v>27278</v>
      </c>
      <c r="S65" s="41">
        <v>8686</v>
      </c>
      <c r="T65" s="42">
        <f>-'Cash Flow'!F65</f>
        <v>31431</v>
      </c>
      <c r="U65" s="4">
        <f t="shared" si="37"/>
        <v>-1.1193175554782962E-2</v>
      </c>
      <c r="V65" s="5">
        <f t="shared" si="20"/>
        <v>0.78347297378418479</v>
      </c>
      <c r="W65" s="5">
        <f t="shared" si="21"/>
        <v>0.36224476669896832</v>
      </c>
      <c r="X65" s="5">
        <f t="shared" si="22"/>
        <v>0.24821411726367604</v>
      </c>
      <c r="Y65" s="5">
        <f t="shared" si="23"/>
        <v>0.24714215883851159</v>
      </c>
      <c r="Z65" s="5">
        <f t="shared" si="24"/>
        <v>0.19497553697213643</v>
      </c>
      <c r="AA65" s="5">
        <f t="shared" si="25"/>
        <v>0.19895548371051977</v>
      </c>
      <c r="AB65" s="5">
        <f t="shared" si="26"/>
        <v>0.18454734196145187</v>
      </c>
      <c r="AC65" s="5">
        <f t="shared" si="27"/>
        <v>0.24553339435897997</v>
      </c>
      <c r="AD65" s="5">
        <f t="shared" si="28"/>
        <v>0.12491452508251358</v>
      </c>
      <c r="AE65" s="3">
        <f>(I65+'Balance Sheet'!E65)/L65</f>
        <v>2.0056242137201212</v>
      </c>
      <c r="AF65" s="3">
        <f t="shared" si="29"/>
        <v>2.2033967290757048</v>
      </c>
      <c r="AG65" s="2">
        <f t="shared" si="30"/>
        <v>-30815</v>
      </c>
      <c r="AH65" s="3">
        <f t="shared" si="31"/>
        <v>7.8933761822564091E-2</v>
      </c>
      <c r="AI65" s="3">
        <f t="shared" si="32"/>
        <v>7.3159043321831957E-2</v>
      </c>
      <c r="AJ65" s="3">
        <f t="shared" si="33"/>
        <v>5.3427880706628544E-2</v>
      </c>
      <c r="AK65" s="3">
        <f t="shared" si="34"/>
        <v>180.9</v>
      </c>
      <c r="AL65" s="3">
        <f t="shared" si="35"/>
        <v>1.4773889732963179</v>
      </c>
      <c r="AM65" s="5">
        <f t="shared" si="18"/>
        <v>0.26954180209074774</v>
      </c>
      <c r="AN65" s="5">
        <f>'Balance Sheet'!J65/Ratios!K65</f>
        <v>0.63085065714731836</v>
      </c>
      <c r="AO65" s="5">
        <f>'Cash Flow'!E65/C65</f>
        <v>0.43285681208140026</v>
      </c>
      <c r="AP65" s="5">
        <f>('Cash Flow'!E65+'Cash Flow'!F65)/Ratios!C65</f>
        <v>0.16331500999065252</v>
      </c>
      <c r="AQ65">
        <v>48.09</v>
      </c>
    </row>
    <row r="66" spans="1:43" x14ac:dyDescent="0.35">
      <c r="A66" t="s">
        <v>60</v>
      </c>
      <c r="B66" s="1">
        <v>44561</v>
      </c>
      <c r="C66" s="40">
        <f>'Income Statement'!C66</f>
        <v>117929</v>
      </c>
      <c r="D66" s="40">
        <f>C66-22649</f>
        <v>95280</v>
      </c>
      <c r="E66" s="41">
        <v>54720</v>
      </c>
      <c r="F66" s="40">
        <f>'Income Statement'!L66</f>
        <v>46753</v>
      </c>
      <c r="G66" s="40">
        <f>'Income Statement'!P66</f>
        <v>47284</v>
      </c>
      <c r="H66" s="40">
        <f>'Income Statement'!R66</f>
        <v>39370</v>
      </c>
      <c r="I66" s="40">
        <f>'Balance Sheet'!D66</f>
        <v>47998</v>
      </c>
      <c r="J66" s="40">
        <f>'Balance Sheet'!I66</f>
        <v>66666</v>
      </c>
      <c r="K66" s="40">
        <f>'Balance Sheet'!R66</f>
        <v>165987</v>
      </c>
      <c r="L66" s="40">
        <f>'Balance Sheet'!X66</f>
        <v>21135</v>
      </c>
      <c r="M66" s="40">
        <f>'Balance Sheet'!AL66</f>
        <v>124879</v>
      </c>
      <c r="N66" s="41">
        <v>0</v>
      </c>
      <c r="O66" s="40">
        <v>13873</v>
      </c>
      <c r="P66" s="40">
        <v>581</v>
      </c>
      <c r="Q66" s="40">
        <v>0</v>
      </c>
      <c r="R66" s="40">
        <f t="shared" si="17"/>
        <v>14454</v>
      </c>
      <c r="S66" s="41">
        <v>7967</v>
      </c>
      <c r="T66" s="42">
        <f>-'Cash Flow'!F66</f>
        <v>18567</v>
      </c>
      <c r="U66" s="4">
        <f t="shared" si="37"/>
        <v>0.37182574303495608</v>
      </c>
      <c r="V66" s="5">
        <f t="shared" ref="V66:V80" si="38">D66/C66</f>
        <v>0.80794376277251567</v>
      </c>
      <c r="W66" s="5">
        <f t="shared" ref="W66:W80" si="39">E66/C66</f>
        <v>0.46400800481645738</v>
      </c>
      <c r="X66" s="5">
        <f t="shared" ref="X66:X80" si="40">F66/C66</f>
        <v>0.39645040660058173</v>
      </c>
      <c r="Y66" s="5">
        <f t="shared" ref="Y66:Y80" si="41">G66/C66</f>
        <v>0.40095311585784665</v>
      </c>
      <c r="Z66" s="5">
        <f t="shared" ref="Z66:Z80" si="42">(G66-H66)/G66</f>
        <v>0.16737162676592504</v>
      </c>
      <c r="AA66" s="5">
        <f t="shared" ref="AA66:AA80" si="43">H66/C66</f>
        <v>0.33384494059985248</v>
      </c>
      <c r="AB66" s="5">
        <f t="shared" ref="AB66:AB80" si="44">H66/M66</f>
        <v>0.31526517669103693</v>
      </c>
      <c r="AC66" s="5">
        <f t="shared" ref="AC66:AC80" si="45">(F66*(1-Z66))/(Q66-I66+M66)</f>
        <v>0.50633933395523867</v>
      </c>
      <c r="AD66" s="5">
        <f t="shared" ref="AD66:AD80" si="46">H66/K66</f>
        <v>0.23718724960388465</v>
      </c>
      <c r="AE66" s="3">
        <f>(I66+'Balance Sheet'!E66)/L66</f>
        <v>2.9352732434350601</v>
      </c>
      <c r="AF66" s="3">
        <f t="shared" ref="AF66:AF80" si="47">J66/L66</f>
        <v>3.1542938254080908</v>
      </c>
      <c r="AG66" s="2">
        <f t="shared" ref="AG66:AG80" si="48">Q66-I66</f>
        <v>-47998</v>
      </c>
      <c r="AH66" s="3">
        <f t="shared" ref="AH66:AH80" si="49">Q66/M66</f>
        <v>0</v>
      </c>
      <c r="AI66" s="3">
        <f t="shared" ref="AI66:AI80" si="50">Q66/SUM(Q66,M66)</f>
        <v>0</v>
      </c>
      <c r="AJ66" s="3">
        <f t="shared" ref="AJ66:AJ80" si="51">Q66/K66</f>
        <v>0</v>
      </c>
      <c r="AK66" s="3"/>
      <c r="AL66" s="3">
        <f t="shared" ref="AL66:AL80" si="52">K66/M66</f>
        <v>1.3291826488040424</v>
      </c>
      <c r="AM66" s="5">
        <f t="shared" si="18"/>
        <v>0.15744218979216307</v>
      </c>
      <c r="AN66" s="5">
        <f>'Balance Sheet'!J66/Ratios!K66</f>
        <v>0.54247621801707357</v>
      </c>
      <c r="AO66" s="5">
        <f>'Cash Flow'!E66/C66</f>
        <v>0.48913329206556488</v>
      </c>
      <c r="AP66" s="5">
        <f>('Cash Flow'!E66+'Cash Flow'!F66)/Ratios!C66</f>
        <v>0.33169110227340182</v>
      </c>
      <c r="AQ66">
        <v>45.56</v>
      </c>
    </row>
    <row r="67" spans="1:43" x14ac:dyDescent="0.35">
      <c r="A67" t="s">
        <v>60</v>
      </c>
      <c r="B67" s="1">
        <v>44196</v>
      </c>
      <c r="C67" s="40">
        <f>'Income Statement'!C67</f>
        <v>85965</v>
      </c>
      <c r="D67" s="40">
        <f>C67-16692</f>
        <v>69273</v>
      </c>
      <c r="E67" s="41">
        <v>39534</v>
      </c>
      <c r="F67" s="40">
        <f>'Income Statement'!L67</f>
        <v>32671</v>
      </c>
      <c r="G67" s="40">
        <f>'Income Statement'!P67</f>
        <v>33180</v>
      </c>
      <c r="H67" s="40">
        <f>'Income Statement'!R67</f>
        <v>29146</v>
      </c>
      <c r="I67" s="40">
        <f>'Balance Sheet'!D67</f>
        <v>61954</v>
      </c>
      <c r="J67" s="40">
        <f>'Balance Sheet'!I67</f>
        <v>75670</v>
      </c>
      <c r="K67" s="40">
        <f>'Balance Sheet'!R67</f>
        <v>159316</v>
      </c>
      <c r="L67" s="40">
        <f>'Balance Sheet'!X67</f>
        <v>14981</v>
      </c>
      <c r="M67" s="40">
        <f>'Balance Sheet'!AL67</f>
        <v>128290</v>
      </c>
      <c r="N67" s="41">
        <v>0</v>
      </c>
      <c r="O67" s="40">
        <v>10654</v>
      </c>
      <c r="P67" s="40">
        <v>523</v>
      </c>
      <c r="Q67" s="40">
        <v>0</v>
      </c>
      <c r="R67" s="40">
        <f t="shared" ref="R67:R80" si="53">SUM(O67:Q67)</f>
        <v>11177</v>
      </c>
      <c r="S67" s="41">
        <v>6862</v>
      </c>
      <c r="T67" s="42">
        <f>-'Cash Flow'!F67</f>
        <v>15115</v>
      </c>
      <c r="U67" s="4">
        <f t="shared" si="37"/>
        <v>0.21596390228722576</v>
      </c>
      <c r="V67" s="5">
        <f t="shared" si="38"/>
        <v>0.80582795323678236</v>
      </c>
      <c r="W67" s="5">
        <f t="shared" si="39"/>
        <v>0.45988483685220727</v>
      </c>
      <c r="X67" s="5">
        <f t="shared" si="40"/>
        <v>0.3800500203571221</v>
      </c>
      <c r="Y67" s="5">
        <f t="shared" si="41"/>
        <v>0.38597103472343397</v>
      </c>
      <c r="Z67" s="5">
        <f t="shared" si="42"/>
        <v>0.12157926461723931</v>
      </c>
      <c r="AA67" s="5">
        <f t="shared" si="43"/>
        <v>0.3390449601582039</v>
      </c>
      <c r="AB67" s="5">
        <f t="shared" si="44"/>
        <v>0.22718840127835374</v>
      </c>
      <c r="AC67" s="5">
        <f t="shared" si="45"/>
        <v>0.43262909801148958</v>
      </c>
      <c r="AD67" s="5">
        <f t="shared" si="46"/>
        <v>0.18294458811418815</v>
      </c>
      <c r="AE67" s="3">
        <f>(I67+'Balance Sheet'!E67)/L67</f>
        <v>4.8921300313730729</v>
      </c>
      <c r="AF67" s="3">
        <f t="shared" si="47"/>
        <v>5.0510646819304457</v>
      </c>
      <c r="AG67" s="2">
        <f t="shared" si="48"/>
        <v>-61954</v>
      </c>
      <c r="AH67" s="3">
        <f t="shared" si="49"/>
        <v>0</v>
      </c>
      <c r="AI67" s="3">
        <f t="shared" si="50"/>
        <v>0</v>
      </c>
      <c r="AJ67" s="3">
        <f t="shared" si="51"/>
        <v>0</v>
      </c>
      <c r="AK67" s="3"/>
      <c r="AL67" s="3">
        <f t="shared" si="52"/>
        <v>1.2418427001325123</v>
      </c>
      <c r="AM67" s="5">
        <f t="shared" ref="AM67:AM78" si="54">T67/C67</f>
        <v>0.17582737160472287</v>
      </c>
      <c r="AN67" s="5">
        <f>'Balance Sheet'!J67/Ratios!K67</f>
        <v>0.44188279896557786</v>
      </c>
      <c r="AO67" s="5">
        <f>'Cash Flow'!E67/C67</f>
        <v>0.45072994823474671</v>
      </c>
      <c r="AP67" s="5">
        <f>('Cash Flow'!E67+'Cash Flow'!F67)/Ratios!C67</f>
        <v>0.27490257663002382</v>
      </c>
      <c r="AQ67">
        <v>45.03</v>
      </c>
    </row>
    <row r="68" spans="1:43" x14ac:dyDescent="0.35">
      <c r="A68" t="s">
        <v>60</v>
      </c>
      <c r="B68" s="1">
        <v>43830</v>
      </c>
      <c r="C68" s="40">
        <f>'Income Statement'!C68</f>
        <v>70697</v>
      </c>
      <c r="D68" s="40">
        <f>'Income Statement'!E68</f>
        <v>57927</v>
      </c>
      <c r="E68" s="41">
        <v>34728</v>
      </c>
      <c r="F68" s="40">
        <f>'Income Statement'!L68</f>
        <v>23986</v>
      </c>
      <c r="G68" s="40">
        <f>'Income Statement'!P68</f>
        <v>24812</v>
      </c>
      <c r="H68" s="40">
        <f>'Income Statement'!R68</f>
        <v>18485</v>
      </c>
      <c r="I68" s="40">
        <f>'Balance Sheet'!D68</f>
        <v>54855</v>
      </c>
      <c r="J68" s="40">
        <f>'Balance Sheet'!I68</f>
        <v>66225</v>
      </c>
      <c r="K68" s="40">
        <f>'Balance Sheet'!R68</f>
        <v>133376</v>
      </c>
      <c r="L68" s="40">
        <f>'Balance Sheet'!X68</f>
        <v>15053</v>
      </c>
      <c r="M68" s="40">
        <f>'Balance Sheet'!AL68</f>
        <v>101054</v>
      </c>
      <c r="N68" s="41">
        <v>20</v>
      </c>
      <c r="O68" s="40">
        <v>10324</v>
      </c>
      <c r="P68" s="40">
        <v>473</v>
      </c>
      <c r="Q68" s="40">
        <v>0</v>
      </c>
      <c r="R68" s="40">
        <f t="shared" si="53"/>
        <v>10797</v>
      </c>
      <c r="S68" s="41">
        <v>5741</v>
      </c>
      <c r="T68" s="42">
        <f>-'Cash Flow'!F68</f>
        <v>15102</v>
      </c>
      <c r="U68" s="4">
        <f t="shared" si="37"/>
        <v>0.26610910132884413</v>
      </c>
      <c r="V68" s="5">
        <f t="shared" si="38"/>
        <v>0.81936998741106415</v>
      </c>
      <c r="W68" s="5">
        <f t="shared" si="39"/>
        <v>0.49122310706253447</v>
      </c>
      <c r="X68" s="5">
        <f t="shared" si="40"/>
        <v>0.33927889443682191</v>
      </c>
      <c r="Y68" s="5">
        <f t="shared" si="41"/>
        <v>0.350962558524407</v>
      </c>
      <c r="Z68" s="5">
        <f t="shared" si="42"/>
        <v>0.25499758181525067</v>
      </c>
      <c r="AA68" s="5">
        <f t="shared" si="43"/>
        <v>0.26146795479298979</v>
      </c>
      <c r="AB68" s="5">
        <f t="shared" si="44"/>
        <v>0.18292200209788825</v>
      </c>
      <c r="AC68" s="5">
        <f t="shared" si="45"/>
        <v>0.38679685713066075</v>
      </c>
      <c r="AD68" s="5">
        <f t="shared" si="46"/>
        <v>0.13859315019193857</v>
      </c>
      <c r="AE68" s="3">
        <f>(I68+'Balance Sheet'!E68)/L68</f>
        <v>4.2764233043247195</v>
      </c>
      <c r="AF68" s="3">
        <f t="shared" si="47"/>
        <v>4.3994552580880883</v>
      </c>
      <c r="AG68" s="2">
        <f t="shared" si="48"/>
        <v>-54855</v>
      </c>
      <c r="AH68" s="3">
        <f t="shared" si="49"/>
        <v>0</v>
      </c>
      <c r="AI68" s="3">
        <f t="shared" si="50"/>
        <v>0</v>
      </c>
      <c r="AJ68" s="3">
        <f t="shared" si="51"/>
        <v>0</v>
      </c>
      <c r="AK68" s="3"/>
      <c r="AL68" s="3">
        <f t="shared" si="52"/>
        <v>1.3198487937142518</v>
      </c>
      <c r="AM68" s="5">
        <f t="shared" si="54"/>
        <v>0.21361585357228738</v>
      </c>
      <c r="AN68" s="5">
        <f>'Balance Sheet'!J68/Ratios!K68</f>
        <v>0.41571197216890593</v>
      </c>
      <c r="AO68" s="5">
        <f>'Cash Flow'!E68/C68</f>
        <v>0.51365687370043989</v>
      </c>
      <c r="AP68" s="5">
        <f>('Cash Flow'!E68+'Cash Flow'!F68)/Ratios!C68</f>
        <v>0.30004102012815254</v>
      </c>
      <c r="AQ68">
        <v>35.43</v>
      </c>
    </row>
    <row r="69" spans="1:43" x14ac:dyDescent="0.35">
      <c r="A69" t="s">
        <v>60</v>
      </c>
      <c r="B69" s="1">
        <v>43465</v>
      </c>
      <c r="C69" s="40">
        <f>'Income Statement'!C69</f>
        <v>55838</v>
      </c>
      <c r="D69" s="40">
        <f>'Income Statement'!E69</f>
        <v>46483</v>
      </c>
      <c r="E69" s="41">
        <v>29233</v>
      </c>
      <c r="F69" s="40">
        <f>'Income Statement'!L69</f>
        <v>24913</v>
      </c>
      <c r="G69" s="40">
        <f>'Income Statement'!P69</f>
        <v>25361</v>
      </c>
      <c r="H69" s="40">
        <f>'Income Statement'!R69</f>
        <v>22112</v>
      </c>
      <c r="I69" s="40">
        <f>'Balance Sheet'!D69</f>
        <v>41114</v>
      </c>
      <c r="J69" s="40">
        <f>'Balance Sheet'!I69</f>
        <v>50480</v>
      </c>
      <c r="K69" s="40">
        <f>'Balance Sheet'!R69</f>
        <v>97334</v>
      </c>
      <c r="L69" s="40">
        <f>'Balance Sheet'!X69</f>
        <v>7017</v>
      </c>
      <c r="M69" s="40">
        <f>'Balance Sheet'!AL69</f>
        <v>84127</v>
      </c>
      <c r="N69" s="41">
        <v>9</v>
      </c>
      <c r="O69" s="40">
        <v>14651</v>
      </c>
      <c r="P69" s="40">
        <v>0</v>
      </c>
      <c r="Q69" s="40">
        <v>0</v>
      </c>
      <c r="R69" s="40">
        <f t="shared" si="53"/>
        <v>14651</v>
      </c>
      <c r="S69" s="41">
        <v>4315</v>
      </c>
      <c r="T69" s="42">
        <f>-'Cash Flow'!F69</f>
        <v>13915</v>
      </c>
      <c r="U69" s="4">
        <f t="shared" si="37"/>
        <v>0.37352716896661992</v>
      </c>
      <c r="V69" s="5">
        <f t="shared" si="38"/>
        <v>0.8324617643898421</v>
      </c>
      <c r="W69" s="5">
        <f t="shared" si="39"/>
        <v>0.52353236147426485</v>
      </c>
      <c r="X69" s="5">
        <f t="shared" si="40"/>
        <v>0.44616569361366809</v>
      </c>
      <c r="Y69" s="5">
        <f t="shared" si="41"/>
        <v>0.45418890361402631</v>
      </c>
      <c r="Z69" s="5">
        <f t="shared" si="42"/>
        <v>0.12811009029612397</v>
      </c>
      <c r="AA69" s="5">
        <f t="shared" si="43"/>
        <v>0.39600272216053584</v>
      </c>
      <c r="AB69" s="5">
        <f t="shared" si="44"/>
        <v>0.26284070512439528</v>
      </c>
      <c r="AC69" s="5">
        <f t="shared" si="45"/>
        <v>0.5049960086590719</v>
      </c>
      <c r="AD69" s="5">
        <f t="shared" si="46"/>
        <v>0.2271765261881768</v>
      </c>
      <c r="AE69" s="3">
        <f>(I69+'Balance Sheet'!E69)/L69</f>
        <v>6.9404303833547099</v>
      </c>
      <c r="AF69" s="3">
        <f t="shared" si="47"/>
        <v>7.1939575317087074</v>
      </c>
      <c r="AG69" s="2">
        <f t="shared" si="48"/>
        <v>-41114</v>
      </c>
      <c r="AH69" s="3">
        <f t="shared" si="49"/>
        <v>0</v>
      </c>
      <c r="AI69" s="3">
        <f t="shared" si="50"/>
        <v>0</v>
      </c>
      <c r="AJ69" s="3">
        <f t="shared" si="51"/>
        <v>0</v>
      </c>
      <c r="AK69" s="3"/>
      <c r="AL69" s="3">
        <f t="shared" si="52"/>
        <v>1.1569888383039928</v>
      </c>
      <c r="AM69" s="5">
        <f t="shared" si="54"/>
        <v>0.24920305168523227</v>
      </c>
      <c r="AN69" s="5">
        <f>'Balance Sheet'!J69/Ratios!K69</f>
        <v>0.32437791521975878</v>
      </c>
      <c r="AO69" s="5">
        <f>'Cash Flow'!E69/C69</f>
        <v>0.52426662846090477</v>
      </c>
      <c r="AP69" s="5">
        <f>('Cash Flow'!E69+'Cash Flow'!F69)/Ratios!C69</f>
        <v>0.2750635767756725</v>
      </c>
      <c r="AQ69">
        <v>29.48</v>
      </c>
    </row>
    <row r="70" spans="1:43" x14ac:dyDescent="0.35">
      <c r="A70" t="s">
        <v>60</v>
      </c>
      <c r="B70" s="1">
        <v>43100</v>
      </c>
      <c r="C70" s="40">
        <f>'Income Statement'!C70</f>
        <v>40653</v>
      </c>
      <c r="D70" s="40">
        <f>'Income Statement'!E70</f>
        <v>35199</v>
      </c>
      <c r="E70" s="41">
        <v>23228</v>
      </c>
      <c r="F70" s="40">
        <f>'Income Statement'!L70</f>
        <v>20203</v>
      </c>
      <c r="G70" s="40">
        <f>'Income Statement'!P70</f>
        <v>20594</v>
      </c>
      <c r="H70" s="40">
        <f>'Income Statement'!R70</f>
        <v>15934</v>
      </c>
      <c r="I70" s="40">
        <f>'Balance Sheet'!D70</f>
        <v>41711</v>
      </c>
      <c r="J70" s="40">
        <f>'Balance Sheet'!I70</f>
        <v>48563</v>
      </c>
      <c r="K70" s="40">
        <f>'Balance Sheet'!R70</f>
        <v>84524</v>
      </c>
      <c r="L70" s="40">
        <f>'Balance Sheet'!X70</f>
        <v>3760</v>
      </c>
      <c r="M70" s="40">
        <f>'Balance Sheet'!AL70</f>
        <v>74347</v>
      </c>
      <c r="N70" s="41">
        <v>6</v>
      </c>
      <c r="O70" s="40">
        <v>4644</v>
      </c>
      <c r="P70" s="40">
        <v>195</v>
      </c>
      <c r="Q70" s="40">
        <v>0</v>
      </c>
      <c r="R70" s="40">
        <f t="shared" si="53"/>
        <v>4839</v>
      </c>
      <c r="S70" s="41">
        <v>3025</v>
      </c>
      <c r="T70" s="42">
        <f>-'Cash Flow'!F70</f>
        <v>6733</v>
      </c>
      <c r="U70" s="4">
        <f t="shared" si="37"/>
        <v>0.47090961719371877</v>
      </c>
      <c r="V70" s="5">
        <f t="shared" si="38"/>
        <v>0.86584015939783043</v>
      </c>
      <c r="W70" s="5">
        <f t="shared" si="39"/>
        <v>0.57137234644429691</v>
      </c>
      <c r="X70" s="5">
        <f t="shared" si="40"/>
        <v>0.49696209381841439</v>
      </c>
      <c r="Y70" s="5">
        <f t="shared" si="41"/>
        <v>0.50658008019088385</v>
      </c>
      <c r="Z70" s="5">
        <f t="shared" si="42"/>
        <v>0.22627949888316987</v>
      </c>
      <c r="AA70" s="5">
        <f t="shared" si="43"/>
        <v>0.39195139350109465</v>
      </c>
      <c r="AB70" s="5">
        <f t="shared" si="44"/>
        <v>0.21431934039033182</v>
      </c>
      <c r="AC70" s="5">
        <f t="shared" si="45"/>
        <v>0.47896418936338153</v>
      </c>
      <c r="AD70" s="5">
        <f t="shared" si="46"/>
        <v>0.18851450475604561</v>
      </c>
      <c r="AE70" s="3">
        <f>(I70+'Balance Sheet'!E70)/L70</f>
        <v>12.644414893617022</v>
      </c>
      <c r="AF70" s="3">
        <f t="shared" si="47"/>
        <v>12.915691489361702</v>
      </c>
      <c r="AG70" s="2">
        <f t="shared" si="48"/>
        <v>-41711</v>
      </c>
      <c r="AH70" s="3">
        <f t="shared" si="49"/>
        <v>0</v>
      </c>
      <c r="AI70" s="3">
        <f t="shared" si="50"/>
        <v>0</v>
      </c>
      <c r="AJ70" s="3">
        <f t="shared" si="51"/>
        <v>0</v>
      </c>
      <c r="AK70" s="3"/>
      <c r="AL70" s="3">
        <f t="shared" si="52"/>
        <v>1.1368851466770684</v>
      </c>
      <c r="AM70" s="5">
        <f t="shared" si="54"/>
        <v>0.16562123336531129</v>
      </c>
      <c r="AN70" s="5">
        <f>'Balance Sheet'!J70/Ratios!K70</f>
        <v>0.21694429984383135</v>
      </c>
      <c r="AO70" s="5">
        <f>'Cash Flow'!E70/C70</f>
        <v>0.59567559589698182</v>
      </c>
      <c r="AP70" s="5">
        <f>('Cash Flow'!E70+'Cash Flow'!F70)/Ratios!C70</f>
        <v>0.43005436253167045</v>
      </c>
      <c r="AQ70">
        <v>25.58</v>
      </c>
    </row>
    <row r="71" spans="1:43" x14ac:dyDescent="0.35">
      <c r="A71" t="s">
        <v>60</v>
      </c>
      <c r="B71" s="1">
        <v>42735</v>
      </c>
      <c r="C71" s="40">
        <f>'Income Statement'!C71</f>
        <v>27638</v>
      </c>
      <c r="D71" s="40">
        <f>'Income Statement'!E71</f>
        <v>23849</v>
      </c>
      <c r="E71" s="41">
        <v>14769</v>
      </c>
      <c r="F71" s="40">
        <f>'Income Statement'!L71</f>
        <v>12427</v>
      </c>
      <c r="G71" s="40">
        <f>'Income Statement'!P71</f>
        <v>12518</v>
      </c>
      <c r="H71" s="40">
        <f>'Income Statement'!R71</f>
        <v>10217</v>
      </c>
      <c r="I71" s="40">
        <f>'Balance Sheet'!D71</f>
        <v>29449</v>
      </c>
      <c r="J71" s="40">
        <f>'Balance Sheet'!I71</f>
        <v>34401</v>
      </c>
      <c r="K71" s="40">
        <f>'Balance Sheet'!R71</f>
        <v>64961</v>
      </c>
      <c r="L71" s="40">
        <f>'Balance Sheet'!X71</f>
        <v>2875</v>
      </c>
      <c r="M71" s="40">
        <f>'Balance Sheet'!AL71</f>
        <v>59194</v>
      </c>
      <c r="N71" s="41">
        <v>10</v>
      </c>
      <c r="O71" s="40">
        <v>1964</v>
      </c>
      <c r="P71" s="40">
        <v>0</v>
      </c>
      <c r="Q71" s="40">
        <v>0</v>
      </c>
      <c r="R71" s="40">
        <f t="shared" si="53"/>
        <v>1964</v>
      </c>
      <c r="S71" s="41">
        <v>2342</v>
      </c>
      <c r="T71" s="42">
        <f>-'Cash Flow'!F71</f>
        <v>4491</v>
      </c>
      <c r="U71" s="4">
        <f t="shared" si="37"/>
        <v>0.5416108879964302</v>
      </c>
      <c r="V71" s="5">
        <f t="shared" si="38"/>
        <v>0.86290614371517471</v>
      </c>
      <c r="W71" s="5">
        <f t="shared" si="39"/>
        <v>0.53437296475866558</v>
      </c>
      <c r="X71" s="5">
        <f t="shared" si="40"/>
        <v>0.44963456111151312</v>
      </c>
      <c r="Y71" s="5">
        <f t="shared" si="41"/>
        <v>0.45292712931471163</v>
      </c>
      <c r="Z71" s="5">
        <f t="shared" si="42"/>
        <v>0.18381530595941845</v>
      </c>
      <c r="AA71" s="5">
        <f t="shared" si="43"/>
        <v>0.36967219046240685</v>
      </c>
      <c r="AB71" s="5">
        <f t="shared" si="44"/>
        <v>0.17260195290063182</v>
      </c>
      <c r="AC71" s="5">
        <f t="shared" si="45"/>
        <v>0.34098931561076845</v>
      </c>
      <c r="AD71" s="5">
        <f t="shared" si="46"/>
        <v>0.15727898277427996</v>
      </c>
      <c r="AE71" s="3">
        <f>(I71+'Balance Sheet'!E71)/L71</f>
        <v>11.632</v>
      </c>
      <c r="AF71" s="3">
        <f t="shared" si="47"/>
        <v>11.965565217391305</v>
      </c>
      <c r="AG71" s="2">
        <f t="shared" si="48"/>
        <v>-29449</v>
      </c>
      <c r="AH71" s="3">
        <f t="shared" si="49"/>
        <v>0</v>
      </c>
      <c r="AI71" s="3">
        <f t="shared" si="50"/>
        <v>0</v>
      </c>
      <c r="AJ71" s="3">
        <f t="shared" si="51"/>
        <v>0</v>
      </c>
      <c r="AK71" s="3"/>
      <c r="AL71" s="3">
        <f t="shared" si="52"/>
        <v>1.0974254147379803</v>
      </c>
      <c r="AM71" s="5">
        <f t="shared" si="54"/>
        <v>0.16249366813807078</v>
      </c>
      <c r="AN71" s="5">
        <f>'Balance Sheet'!J71/Ratios!K71</f>
        <v>0.1816936315635535</v>
      </c>
      <c r="AO71" s="5">
        <f>'Cash Flow'!E71/C71</f>
        <v>0.58282075403430056</v>
      </c>
      <c r="AP71" s="5">
        <f>('Cash Flow'!E71+'Cash Flow'!F71)/Ratios!C71</f>
        <v>0.4203270858962298</v>
      </c>
      <c r="AQ71">
        <v>20.47</v>
      </c>
    </row>
    <row r="72" spans="1:43" x14ac:dyDescent="0.35">
      <c r="A72" t="s">
        <v>60</v>
      </c>
      <c r="B72" s="1">
        <v>42369</v>
      </c>
      <c r="C72" s="40">
        <f>'Income Statement'!C72</f>
        <v>17928</v>
      </c>
      <c r="D72" s="40">
        <f>'Income Statement'!E72</f>
        <v>15061</v>
      </c>
      <c r="E72" s="41">
        <v>8175</v>
      </c>
      <c r="F72" s="40">
        <f>'Income Statement'!L72</f>
        <v>6225</v>
      </c>
      <c r="G72" s="40">
        <f>'Income Statement'!P72</f>
        <v>6194</v>
      </c>
      <c r="H72" s="40">
        <f>'Income Statement'!R72</f>
        <v>3688</v>
      </c>
      <c r="I72" s="40">
        <f>'Balance Sheet'!D72</f>
        <v>18434</v>
      </c>
      <c r="J72" s="40">
        <f>'Balance Sheet'!I72</f>
        <v>21652</v>
      </c>
      <c r="K72" s="40">
        <f>'Balance Sheet'!R72</f>
        <v>49407</v>
      </c>
      <c r="L72" s="40">
        <f>'Balance Sheet'!X72</f>
        <v>1925</v>
      </c>
      <c r="M72" s="40">
        <f>'Balance Sheet'!AL72</f>
        <v>44218</v>
      </c>
      <c r="N72" s="41">
        <v>23</v>
      </c>
      <c r="O72" s="40">
        <v>1452</v>
      </c>
      <c r="P72" s="40">
        <v>114</v>
      </c>
      <c r="Q72" s="40">
        <v>201</v>
      </c>
      <c r="R72" s="40">
        <f t="shared" si="53"/>
        <v>1767</v>
      </c>
      <c r="S72" s="41">
        <v>1945</v>
      </c>
      <c r="T72" s="42">
        <f>-'Cash Flow'!F72</f>
        <v>2523</v>
      </c>
      <c r="U72" s="4">
        <f t="shared" si="37"/>
        <v>0.43815177282207607</v>
      </c>
      <c r="V72" s="5">
        <f t="shared" si="38"/>
        <v>0.84008255243195007</v>
      </c>
      <c r="W72" s="5">
        <f t="shared" si="39"/>
        <v>0.45599062918340028</v>
      </c>
      <c r="X72" s="5">
        <f t="shared" si="40"/>
        <v>0.34722222222222221</v>
      </c>
      <c r="Y72" s="5">
        <f t="shared" si="41"/>
        <v>0.34549308344489066</v>
      </c>
      <c r="Z72" s="5">
        <f t="shared" si="42"/>
        <v>0.4045850823377462</v>
      </c>
      <c r="AA72" s="5">
        <f t="shared" si="43"/>
        <v>0.20571173583221777</v>
      </c>
      <c r="AB72" s="5">
        <f t="shared" si="44"/>
        <v>8.340494821113574E-2</v>
      </c>
      <c r="AC72" s="5">
        <f t="shared" si="45"/>
        <v>0.14263836299586416</v>
      </c>
      <c r="AD72" s="5">
        <f t="shared" si="46"/>
        <v>7.4645293177080171E-2</v>
      </c>
      <c r="AE72" s="3">
        <f>(I72+'Balance Sheet'!E72)/L72</f>
        <v>10.905454545454546</v>
      </c>
      <c r="AF72" s="3">
        <f t="shared" si="47"/>
        <v>11.247792207792207</v>
      </c>
      <c r="AG72" s="2">
        <f t="shared" si="48"/>
        <v>-18233</v>
      </c>
      <c r="AH72" s="3">
        <f t="shared" si="49"/>
        <v>4.5456601384051745E-3</v>
      </c>
      <c r="AI72" s="3">
        <f t="shared" si="50"/>
        <v>4.5250906143767308E-3</v>
      </c>
      <c r="AJ72" s="3">
        <f t="shared" si="51"/>
        <v>4.0682494383386973E-3</v>
      </c>
      <c r="AK72" s="3">
        <f t="shared" ref="AK66:AK80" si="55">F72/N72</f>
        <v>270.6521739130435</v>
      </c>
      <c r="AL72" s="3">
        <f t="shared" si="52"/>
        <v>1.117350400289475</v>
      </c>
      <c r="AM72" s="5">
        <f t="shared" si="54"/>
        <v>0.14072958500669344</v>
      </c>
      <c r="AN72" s="5">
        <f>'Balance Sheet'!J72/Ratios!K72</f>
        <v>0.15825692715607101</v>
      </c>
      <c r="AO72" s="5">
        <f>'Cash Flow'!E72/C72</f>
        <v>0.47964078536367694</v>
      </c>
      <c r="AP72" s="5">
        <f>('Cash Flow'!E72+'Cash Flow'!F72)/Ratios!C72</f>
        <v>0.33891120035698347</v>
      </c>
      <c r="AQ72">
        <v>15.54</v>
      </c>
    </row>
    <row r="73" spans="1:43" x14ac:dyDescent="0.35">
      <c r="A73" t="s">
        <v>60</v>
      </c>
      <c r="B73" s="1">
        <v>42004</v>
      </c>
      <c r="C73" s="40">
        <f>'Income Statement'!C73</f>
        <v>12466</v>
      </c>
      <c r="D73" s="40">
        <f>'Income Statement'!E73</f>
        <v>10313</v>
      </c>
      <c r="E73" s="41">
        <v>6237</v>
      </c>
      <c r="F73" s="40">
        <f>'Income Statement'!L73</f>
        <v>4994</v>
      </c>
      <c r="G73" s="40">
        <f>'Income Statement'!P73</f>
        <v>4910</v>
      </c>
      <c r="H73" s="40">
        <f>'Income Statement'!R73</f>
        <v>2940</v>
      </c>
      <c r="I73" s="40">
        <f>'Balance Sheet'!D73</f>
        <v>11199</v>
      </c>
      <c r="J73" s="40">
        <f>'Balance Sheet'!I73</f>
        <v>13390</v>
      </c>
      <c r="K73" s="40">
        <f>'Balance Sheet'!R73</f>
        <v>39966</v>
      </c>
      <c r="L73" s="40">
        <f>'Balance Sheet'!X73</f>
        <v>1424</v>
      </c>
      <c r="M73" s="40">
        <f>'Balance Sheet'!AL73</f>
        <v>36096</v>
      </c>
      <c r="N73" s="41">
        <v>23</v>
      </c>
      <c r="O73" s="40">
        <v>1101</v>
      </c>
      <c r="P73" s="40">
        <v>233</v>
      </c>
      <c r="Q73" s="40">
        <v>0</v>
      </c>
      <c r="R73" s="40">
        <f t="shared" si="53"/>
        <v>1334</v>
      </c>
      <c r="S73" s="41">
        <v>1243</v>
      </c>
      <c r="T73" s="42">
        <f>-'Cash Flow'!F73</f>
        <v>1831</v>
      </c>
      <c r="U73" s="4">
        <f t="shared" si="37"/>
        <v>0.58358739837398377</v>
      </c>
      <c r="V73" s="5">
        <f t="shared" si="38"/>
        <v>0.82729022942403341</v>
      </c>
      <c r="W73" s="5">
        <f t="shared" si="39"/>
        <v>0.5003208727739451</v>
      </c>
      <c r="X73" s="5">
        <f t="shared" si="40"/>
        <v>0.40060965827049577</v>
      </c>
      <c r="Y73" s="5">
        <f t="shared" si="41"/>
        <v>0.39387133001764801</v>
      </c>
      <c r="Z73" s="5">
        <f t="shared" si="42"/>
        <v>0.40122199592668023</v>
      </c>
      <c r="AA73" s="5">
        <f t="shared" si="43"/>
        <v>0.2358414888496711</v>
      </c>
      <c r="AB73" s="5">
        <f t="shared" si="44"/>
        <v>8.1449468085106377E-2</v>
      </c>
      <c r="AC73" s="5">
        <f t="shared" si="45"/>
        <v>0.12010673383709518</v>
      </c>
      <c r="AD73" s="5">
        <f t="shared" si="46"/>
        <v>7.3562528148926581E-2</v>
      </c>
      <c r="AE73" s="3">
        <f>(I73+'Balance Sheet'!E73)/L73</f>
        <v>9.0428370786516847</v>
      </c>
      <c r="AF73" s="3">
        <f t="shared" si="47"/>
        <v>9.4030898876404496</v>
      </c>
      <c r="AG73" s="2">
        <f t="shared" si="48"/>
        <v>-11199</v>
      </c>
      <c r="AH73" s="3">
        <f t="shared" si="49"/>
        <v>0</v>
      </c>
      <c r="AI73" s="3">
        <f t="shared" si="50"/>
        <v>0</v>
      </c>
      <c r="AJ73" s="3">
        <f t="shared" si="51"/>
        <v>0</v>
      </c>
      <c r="AK73" s="3">
        <f t="shared" si="55"/>
        <v>217.13043478260869</v>
      </c>
      <c r="AL73" s="3">
        <f t="shared" si="52"/>
        <v>1.1072140957446808</v>
      </c>
      <c r="AM73" s="5">
        <f t="shared" si="54"/>
        <v>0.14687951227338361</v>
      </c>
      <c r="AN73" s="5">
        <f>'Balance Sheet'!J73/Ratios!K73</f>
        <v>0.14472301456237802</v>
      </c>
      <c r="AO73" s="5">
        <f>'Cash Flow'!E73/C73</f>
        <v>0.43775068185464461</v>
      </c>
      <c r="AP73" s="5">
        <f>('Cash Flow'!E73+'Cash Flow'!F73)/Ratios!C73</f>
        <v>0.29087116958126102</v>
      </c>
      <c r="AQ73">
        <v>12.91</v>
      </c>
    </row>
    <row r="74" spans="1:43" x14ac:dyDescent="0.35">
      <c r="A74" t="s">
        <v>60</v>
      </c>
      <c r="B74" s="1">
        <v>41639</v>
      </c>
      <c r="C74" s="40">
        <f>'Income Statement'!C74</f>
        <v>7872</v>
      </c>
      <c r="D74" s="40">
        <f>'Income Statement'!E74</f>
        <v>5997</v>
      </c>
      <c r="E74" s="41">
        <v>3815</v>
      </c>
      <c r="F74" s="40">
        <f>'Income Statement'!L74</f>
        <v>2804</v>
      </c>
      <c r="G74" s="40">
        <f>'Income Statement'!P74</f>
        <v>2754</v>
      </c>
      <c r="H74" s="40">
        <f>'Income Statement'!R74</f>
        <v>1500</v>
      </c>
      <c r="I74" s="40">
        <f>'Balance Sheet'!D74</f>
        <v>11449</v>
      </c>
      <c r="J74" s="40">
        <f>'Balance Sheet'!I74</f>
        <v>13070</v>
      </c>
      <c r="K74" s="40">
        <f>'Balance Sheet'!R74</f>
        <v>17895</v>
      </c>
      <c r="L74" s="40">
        <f>'Balance Sheet'!X74</f>
        <v>1100</v>
      </c>
      <c r="M74" s="40">
        <f>'Balance Sheet'!AL74</f>
        <v>15470</v>
      </c>
      <c r="N74" s="46">
        <v>56</v>
      </c>
      <c r="O74" s="40">
        <v>978</v>
      </c>
      <c r="P74" s="40">
        <v>476</v>
      </c>
      <c r="Q74" s="40">
        <v>0</v>
      </c>
      <c r="R74" s="40">
        <f t="shared" si="53"/>
        <v>1454</v>
      </c>
      <c r="S74" s="41">
        <v>1011</v>
      </c>
      <c r="T74" s="42">
        <f>-'Cash Flow'!F74</f>
        <v>1362</v>
      </c>
      <c r="U74" s="4">
        <f t="shared" si="37"/>
        <v>0.54686578895657301</v>
      </c>
      <c r="V74" s="5">
        <f t="shared" si="38"/>
        <v>0.76181402439024393</v>
      </c>
      <c r="W74" s="5">
        <f t="shared" si="39"/>
        <v>0.4846290650406504</v>
      </c>
      <c r="X74" s="5">
        <f t="shared" si="40"/>
        <v>0.35619918699186992</v>
      </c>
      <c r="Y74" s="5">
        <f t="shared" si="41"/>
        <v>0.34984756097560976</v>
      </c>
      <c r="Z74" s="5">
        <f t="shared" si="42"/>
        <v>0.45533769063180829</v>
      </c>
      <c r="AA74" s="5">
        <f t="shared" si="43"/>
        <v>0.19054878048780488</v>
      </c>
      <c r="AB74" s="5">
        <f t="shared" si="44"/>
        <v>9.6961861667744023E-2</v>
      </c>
      <c r="AC74" s="5">
        <f t="shared" si="45"/>
        <v>0.37981425403342689</v>
      </c>
      <c r="AD74" s="5">
        <f t="shared" si="46"/>
        <v>8.3822296730930432E-2</v>
      </c>
      <c r="AE74" s="3">
        <f>(I74+'Balance Sheet'!E74)/L74</f>
        <v>11.462727272727273</v>
      </c>
      <c r="AF74" s="3">
        <f t="shared" si="47"/>
        <v>11.881818181818181</v>
      </c>
      <c r="AG74" s="2">
        <f t="shared" si="48"/>
        <v>-11449</v>
      </c>
      <c r="AH74" s="3">
        <f t="shared" si="49"/>
        <v>0</v>
      </c>
      <c r="AI74" s="3">
        <f t="shared" si="50"/>
        <v>0</v>
      </c>
      <c r="AJ74" s="3">
        <f t="shared" si="51"/>
        <v>0</v>
      </c>
      <c r="AK74" s="3">
        <f t="shared" si="55"/>
        <v>50.071428571428569</v>
      </c>
      <c r="AL74" s="3">
        <f t="shared" si="52"/>
        <v>1.1567550096961863</v>
      </c>
      <c r="AM74" s="5">
        <f t="shared" si="54"/>
        <v>0.17301829268292682</v>
      </c>
      <c r="AN74" s="5">
        <f>'Balance Sheet'!J74/Ratios!K74</f>
        <v>0.23146130203967588</v>
      </c>
      <c r="AO74" s="5">
        <f>'Cash Flow'!E74/C74</f>
        <v>0.53633130081300817</v>
      </c>
      <c r="AP74" s="5">
        <f>('Cash Flow'!E74+'Cash Flow'!F74)/Ratios!C74</f>
        <v>0.36331300813008133</v>
      </c>
      <c r="AQ74">
        <v>6.07</v>
      </c>
    </row>
    <row r="75" spans="1:43" x14ac:dyDescent="0.35">
      <c r="A75" t="s">
        <v>60</v>
      </c>
      <c r="B75" s="1">
        <v>41274</v>
      </c>
      <c r="C75" s="40">
        <f>'Income Statement'!C75</f>
        <v>5089</v>
      </c>
      <c r="D75" s="40">
        <f>'Income Statement'!E75</f>
        <v>3725</v>
      </c>
      <c r="E75" s="41">
        <v>1187</v>
      </c>
      <c r="F75" s="40">
        <f>'Income Statement'!L75</f>
        <v>538</v>
      </c>
      <c r="G75" s="40">
        <f>'Income Statement'!P75</f>
        <v>494</v>
      </c>
      <c r="H75" s="40">
        <f>'Income Statement'!R75</f>
        <v>53</v>
      </c>
      <c r="I75" s="40">
        <f>'Balance Sheet'!D75</f>
        <v>9626</v>
      </c>
      <c r="J75" s="40">
        <f>'Balance Sheet'!I75</f>
        <v>11267</v>
      </c>
      <c r="K75" s="40">
        <f>'Balance Sheet'!R75</f>
        <v>15103</v>
      </c>
      <c r="L75" s="40">
        <f>'Balance Sheet'!X75</f>
        <v>1052</v>
      </c>
      <c r="M75" s="40">
        <f>'Balance Sheet'!AL75</f>
        <v>11755</v>
      </c>
      <c r="N75" s="46">
        <v>51</v>
      </c>
      <c r="O75" s="40">
        <v>851</v>
      </c>
      <c r="P75" s="40">
        <v>856</v>
      </c>
      <c r="Q75" s="40">
        <v>1500</v>
      </c>
      <c r="R75" s="40">
        <f t="shared" si="53"/>
        <v>3207</v>
      </c>
      <c r="S75" s="41">
        <v>649</v>
      </c>
      <c r="T75" s="42">
        <f>-'Cash Flow'!F75</f>
        <v>1235</v>
      </c>
      <c r="U75" s="4">
        <f t="shared" si="37"/>
        <v>0.37132848288870923</v>
      </c>
      <c r="V75" s="5">
        <f t="shared" si="38"/>
        <v>0.73197091766555311</v>
      </c>
      <c r="W75" s="5">
        <f t="shared" si="39"/>
        <v>0.23324818235409708</v>
      </c>
      <c r="X75" s="5">
        <f t="shared" si="40"/>
        <v>0.10571821575948123</v>
      </c>
      <c r="Y75" s="5">
        <f t="shared" si="41"/>
        <v>9.7072116329337793E-2</v>
      </c>
      <c r="Z75" s="5">
        <f t="shared" si="42"/>
        <v>0.89271255060728749</v>
      </c>
      <c r="AA75" s="5">
        <f t="shared" si="43"/>
        <v>1.0414619768127334E-2</v>
      </c>
      <c r="AB75" s="5">
        <f t="shared" si="44"/>
        <v>4.5087196937473413E-3</v>
      </c>
      <c r="AC75" s="5">
        <f t="shared" si="45"/>
        <v>1.5905386545406262E-2</v>
      </c>
      <c r="AD75" s="5">
        <f t="shared" si="46"/>
        <v>3.5092365755147984E-3</v>
      </c>
      <c r="AE75" s="3">
        <f>(I75+'Balance Sheet'!E75)/L75</f>
        <v>10.262357414448669</v>
      </c>
      <c r="AF75" s="3">
        <f t="shared" si="47"/>
        <v>10.710076045627376</v>
      </c>
      <c r="AG75" s="2">
        <f t="shared" si="48"/>
        <v>-8126</v>
      </c>
      <c r="AH75" s="3">
        <f t="shared" si="49"/>
        <v>0.12760527435133986</v>
      </c>
      <c r="AI75" s="3">
        <f t="shared" si="50"/>
        <v>0.11316484345529988</v>
      </c>
      <c r="AJ75" s="3">
        <f t="shared" si="51"/>
        <v>9.9318016288154676E-2</v>
      </c>
      <c r="AK75" s="3">
        <f t="shared" si="55"/>
        <v>10.549019607843137</v>
      </c>
      <c r="AL75" s="3">
        <f t="shared" si="52"/>
        <v>1.2848149723521907</v>
      </c>
      <c r="AM75" s="5">
        <f t="shared" si="54"/>
        <v>0.24268029082334447</v>
      </c>
      <c r="AN75" s="5">
        <f>'Balance Sheet'!J75/Ratios!K75</f>
        <v>0.2167119115407535</v>
      </c>
      <c r="AO75" s="5">
        <f>'Cash Flow'!E75/C75</f>
        <v>0.31676164275889174</v>
      </c>
      <c r="AP75" s="5">
        <f>('Cash Flow'!E75+'Cash Flow'!F75)/Ratios!C75</f>
        <v>7.4081351935547254E-2</v>
      </c>
      <c r="AQ75">
        <v>4.95</v>
      </c>
    </row>
    <row r="76" spans="1:43" x14ac:dyDescent="0.35">
      <c r="A76" t="s">
        <v>60</v>
      </c>
      <c r="B76" s="1">
        <v>40908</v>
      </c>
      <c r="C76" s="40">
        <f>'Income Statement'!C76</f>
        <v>3711</v>
      </c>
      <c r="D76" s="40">
        <f>'Income Statement'!E76</f>
        <v>2851</v>
      </c>
      <c r="E76" s="41">
        <v>2079</v>
      </c>
      <c r="F76" s="40">
        <f>'Income Statement'!L76</f>
        <v>1756</v>
      </c>
      <c r="G76" s="40">
        <f>'Income Statement'!P76</f>
        <v>1695</v>
      </c>
      <c r="H76" s="40">
        <f>'Income Statement'!R76</f>
        <v>1000</v>
      </c>
      <c r="I76" s="40">
        <f>'Balance Sheet'!D76</f>
        <v>3908</v>
      </c>
      <c r="J76" s="40">
        <f>'Balance Sheet'!I76</f>
        <v>4604</v>
      </c>
      <c r="K76" s="40">
        <f>'Balance Sheet'!R76</f>
        <v>6331</v>
      </c>
      <c r="L76" s="40">
        <f>'Balance Sheet'!X76</f>
        <v>899</v>
      </c>
      <c r="M76" s="40">
        <f>'Balance Sheet'!AL76</f>
        <v>4899</v>
      </c>
      <c r="N76" s="46">
        <v>42</v>
      </c>
      <c r="O76" s="40">
        <v>945</v>
      </c>
      <c r="P76" s="40">
        <v>677</v>
      </c>
      <c r="Q76" s="40">
        <v>0</v>
      </c>
      <c r="R76" s="40">
        <f t="shared" si="53"/>
        <v>1622</v>
      </c>
      <c r="S76" s="41">
        <v>323</v>
      </c>
      <c r="T76" s="42">
        <f>-'Cash Flow'!F76</f>
        <v>606</v>
      </c>
      <c r="U76" s="4">
        <f t="shared" si="37"/>
        <v>0.87993920972644379</v>
      </c>
      <c r="V76" s="5">
        <f t="shared" si="38"/>
        <v>0.76825653462678523</v>
      </c>
      <c r="W76" s="5">
        <f t="shared" si="39"/>
        <v>0.56022635408245758</v>
      </c>
      <c r="X76" s="5">
        <f t="shared" si="40"/>
        <v>0.47318781999461063</v>
      </c>
      <c r="Y76" s="5">
        <f t="shared" si="41"/>
        <v>0.45675020210185935</v>
      </c>
      <c r="Z76" s="5">
        <f t="shared" si="42"/>
        <v>0.41002949852507375</v>
      </c>
      <c r="AA76" s="5">
        <f t="shared" si="43"/>
        <v>0.2694691457828079</v>
      </c>
      <c r="AB76" s="5">
        <f t="shared" si="44"/>
        <v>0.20412329046744235</v>
      </c>
      <c r="AC76" s="5">
        <f t="shared" si="45"/>
        <v>1.0453967715337746</v>
      </c>
      <c r="AD76" s="5">
        <f t="shared" si="46"/>
        <v>0.15795293002685198</v>
      </c>
      <c r="AE76" s="3">
        <f>(I76+'Balance Sheet'!E76)/L76</f>
        <v>4.9555061179087874</v>
      </c>
      <c r="AF76" s="3">
        <f t="shared" si="47"/>
        <v>5.1212458286985543</v>
      </c>
      <c r="AG76" s="2">
        <f t="shared" si="48"/>
        <v>-3908</v>
      </c>
      <c r="AH76" s="3">
        <f t="shared" si="49"/>
        <v>0</v>
      </c>
      <c r="AI76" s="3">
        <f t="shared" si="50"/>
        <v>0</v>
      </c>
      <c r="AJ76" s="3">
        <f t="shared" si="51"/>
        <v>0</v>
      </c>
      <c r="AK76" s="3">
        <f t="shared" si="55"/>
        <v>41.80952380952381</v>
      </c>
      <c r="AL76" s="3">
        <f t="shared" si="52"/>
        <v>1.2923045519493774</v>
      </c>
      <c r="AM76" s="5">
        <f t="shared" si="54"/>
        <v>0.16329830234438156</v>
      </c>
      <c r="AN76" s="5">
        <f>'Balance Sheet'!J76/Ratios!K76</f>
        <v>0.3040593903016901</v>
      </c>
      <c r="AO76" s="5">
        <f>'Cash Flow'!E76/C76</f>
        <v>0.41740770681756939</v>
      </c>
      <c r="AP76" s="5">
        <f>('Cash Flow'!E76+'Cash Flow'!F76)/Ratios!C76</f>
        <v>0.25410940447318781</v>
      </c>
      <c r="AQ76">
        <v>2.29</v>
      </c>
    </row>
    <row r="77" spans="1:43" x14ac:dyDescent="0.35">
      <c r="A77" t="s">
        <v>60</v>
      </c>
      <c r="B77" s="1">
        <v>40543</v>
      </c>
      <c r="C77" s="40">
        <f>'Income Statement'!C77</f>
        <v>1974</v>
      </c>
      <c r="D77" s="40">
        <f>'Income Statement'!E77</f>
        <v>1481</v>
      </c>
      <c r="E77" s="41">
        <v>1171</v>
      </c>
      <c r="F77" s="40">
        <f>'Income Statement'!L77</f>
        <v>1032</v>
      </c>
      <c r="G77" s="40">
        <f>'Income Statement'!P77</f>
        <v>1008</v>
      </c>
      <c r="H77" s="40">
        <f>'Income Statement'!R77</f>
        <v>606</v>
      </c>
      <c r="I77" s="40">
        <f>'Balance Sheet'!D77</f>
        <v>1785</v>
      </c>
      <c r="J77" s="40">
        <f>'Balance Sheet'!I77</f>
        <v>2246</v>
      </c>
      <c r="K77" s="40">
        <f>'Balance Sheet'!R77</f>
        <v>2990</v>
      </c>
      <c r="L77" s="40">
        <f>'Balance Sheet'!X77</f>
        <v>389</v>
      </c>
      <c r="M77" s="40">
        <f>'Balance Sheet'!AL77</f>
        <v>2162</v>
      </c>
      <c r="N77" s="46">
        <v>22</v>
      </c>
      <c r="O77" s="40">
        <v>0</v>
      </c>
      <c r="P77" s="40">
        <v>0</v>
      </c>
      <c r="Q77" s="40">
        <v>0</v>
      </c>
      <c r="R77" s="40">
        <f t="shared" si="53"/>
        <v>0</v>
      </c>
      <c r="S77" s="41">
        <v>139</v>
      </c>
      <c r="T77" s="42">
        <f>-'Cash Flow'!F77</f>
        <v>293</v>
      </c>
      <c r="U77" s="4">
        <f t="shared" si="37"/>
        <v>1.5405405405405406</v>
      </c>
      <c r="V77" s="5">
        <f t="shared" si="38"/>
        <v>0.75025329280648434</v>
      </c>
      <c r="W77" s="5">
        <f t="shared" si="39"/>
        <v>0.59321175278622085</v>
      </c>
      <c r="X77" s="5">
        <f t="shared" si="40"/>
        <v>0.52279635258358659</v>
      </c>
      <c r="Y77" s="5">
        <f t="shared" si="41"/>
        <v>0.51063829787234039</v>
      </c>
      <c r="Z77" s="5">
        <f t="shared" si="42"/>
        <v>0.39880952380952384</v>
      </c>
      <c r="AA77" s="5">
        <f t="shared" si="43"/>
        <v>0.30699088145896658</v>
      </c>
      <c r="AB77" s="5">
        <f t="shared" si="44"/>
        <v>0.28029602220166511</v>
      </c>
      <c r="AC77" s="5">
        <f t="shared" si="45"/>
        <v>1.6456991284577491</v>
      </c>
      <c r="AD77" s="5">
        <f t="shared" si="46"/>
        <v>0.20267558528428092</v>
      </c>
      <c r="AE77" s="3">
        <f>(I77+'Balance Sheet'!E77)/L77</f>
        <v>5.5475578406169666</v>
      </c>
      <c r="AF77" s="3">
        <f t="shared" si="47"/>
        <v>5.7737789203084837</v>
      </c>
      <c r="AG77" s="2">
        <f t="shared" si="48"/>
        <v>-1785</v>
      </c>
      <c r="AH77" s="3">
        <f t="shared" si="49"/>
        <v>0</v>
      </c>
      <c r="AI77" s="3">
        <f t="shared" si="50"/>
        <v>0</v>
      </c>
      <c r="AJ77" s="3">
        <f t="shared" si="51"/>
        <v>0</v>
      </c>
      <c r="AK77" s="3">
        <f t="shared" si="55"/>
        <v>46.909090909090907</v>
      </c>
      <c r="AL77" s="3">
        <f t="shared" si="52"/>
        <v>1.3829787234042554</v>
      </c>
      <c r="AM77" s="5">
        <f t="shared" si="54"/>
        <v>0.14842958459979735</v>
      </c>
      <c r="AN77" s="5">
        <f>'Balance Sheet'!J77/Ratios!K77</f>
        <v>0.27424749163879597</v>
      </c>
      <c r="AO77" s="5">
        <f>'Cash Flow'!E77/C77</f>
        <v>0.353596757852077</v>
      </c>
      <c r="AP77" s="5">
        <f>('Cash Flow'!E77+'Cash Flow'!F77)/Ratios!C77</f>
        <v>0.20516717325227962</v>
      </c>
      <c r="AQ77">
        <v>1.01</v>
      </c>
    </row>
    <row r="78" spans="1:43" x14ac:dyDescent="0.35">
      <c r="A78" t="s">
        <v>60</v>
      </c>
      <c r="B78" s="1">
        <v>40178</v>
      </c>
      <c r="C78" s="40">
        <f>'Income Statement'!C78</f>
        <v>777</v>
      </c>
      <c r="D78" s="40">
        <f>'Income Statement'!E78</f>
        <v>554</v>
      </c>
      <c r="E78" s="41">
        <v>340</v>
      </c>
      <c r="F78" s="40">
        <f>'Income Statement'!L78</f>
        <v>262</v>
      </c>
      <c r="G78" s="40">
        <f>'Income Statement'!P78</f>
        <v>254</v>
      </c>
      <c r="H78" s="40">
        <v>122</v>
      </c>
      <c r="I78" s="40">
        <f>'Balance Sheet'!D78</f>
        <v>633</v>
      </c>
      <c r="J78" s="40">
        <v>633</v>
      </c>
      <c r="K78" s="40">
        <f>'Balance Sheet'!R78</f>
        <v>1109</v>
      </c>
      <c r="L78" s="40">
        <v>0</v>
      </c>
      <c r="M78" s="40">
        <f>'Balance Sheet'!AL78</f>
        <v>868</v>
      </c>
      <c r="N78" s="41">
        <v>10</v>
      </c>
      <c r="O78" s="40">
        <v>0</v>
      </c>
      <c r="P78" s="40">
        <v>0</v>
      </c>
      <c r="Q78" s="40">
        <v>0</v>
      </c>
      <c r="R78" s="40">
        <f t="shared" si="53"/>
        <v>0</v>
      </c>
      <c r="S78" s="41">
        <v>78</v>
      </c>
      <c r="T78" s="42">
        <f>-'Cash Flow'!F78</f>
        <v>33</v>
      </c>
      <c r="U78" s="4">
        <f t="shared" si="37"/>
        <v>1.8566176470588236</v>
      </c>
      <c r="V78" s="5">
        <f t="shared" si="38"/>
        <v>0.71299871299871298</v>
      </c>
      <c r="W78" s="5">
        <f t="shared" si="39"/>
        <v>0.43758043758043758</v>
      </c>
      <c r="X78" s="5">
        <f t="shared" si="40"/>
        <v>0.33719433719433717</v>
      </c>
      <c r="Y78" s="5">
        <f t="shared" si="41"/>
        <v>0.32689832689832687</v>
      </c>
      <c r="Z78" s="5">
        <f t="shared" si="42"/>
        <v>0.51968503937007871</v>
      </c>
      <c r="AA78" s="5">
        <f t="shared" si="43"/>
        <v>0.15701415701415702</v>
      </c>
      <c r="AB78" s="5">
        <f t="shared" si="44"/>
        <v>0.14055299539170507</v>
      </c>
      <c r="AC78" s="5">
        <f t="shared" si="45"/>
        <v>0.53550008376612501</v>
      </c>
      <c r="AD78" s="5">
        <f t="shared" si="46"/>
        <v>0.11000901713255185</v>
      </c>
      <c r="AE78" s="3"/>
      <c r="AF78" s="3"/>
      <c r="AG78" s="2">
        <f t="shared" si="48"/>
        <v>-633</v>
      </c>
      <c r="AH78" s="3">
        <f t="shared" si="49"/>
        <v>0</v>
      </c>
      <c r="AI78" s="3">
        <f t="shared" si="50"/>
        <v>0</v>
      </c>
      <c r="AJ78" s="3">
        <f t="shared" si="51"/>
        <v>0</v>
      </c>
      <c r="AK78" s="3">
        <f t="shared" si="55"/>
        <v>26.2</v>
      </c>
      <c r="AL78" s="3">
        <f t="shared" si="52"/>
        <v>1.2776497695852536</v>
      </c>
      <c r="AM78" s="5">
        <f t="shared" si="54"/>
        <v>4.2471042471042469E-2</v>
      </c>
      <c r="AN78" s="5">
        <f>'Balance Sheet'!J78/Ratios!K78</f>
        <v>0</v>
      </c>
      <c r="AO78" s="5">
        <f>'Cash Flow'!E78/C78</f>
        <v>0.19948519948519949</v>
      </c>
      <c r="AP78" s="5">
        <f>('Cash Flow'!E78+'Cash Flow'!F78)/Ratios!C78</f>
        <v>0.15701415701415702</v>
      </c>
      <c r="AQ78">
        <v>0.41</v>
      </c>
    </row>
    <row r="79" spans="1:43" x14ac:dyDescent="0.35">
      <c r="A79" t="s">
        <v>60</v>
      </c>
      <c r="B79" s="1">
        <v>39813</v>
      </c>
      <c r="C79" s="40">
        <f>'Income Statement'!C79</f>
        <v>272</v>
      </c>
      <c r="D79" s="40">
        <f>'Income Statement'!E79</f>
        <v>148</v>
      </c>
      <c r="E79" s="41"/>
      <c r="F79" s="40">
        <f>'Income Statement'!L79</f>
        <v>-55</v>
      </c>
      <c r="G79" s="40">
        <f>'Income Statement'!R79</f>
        <v>-56</v>
      </c>
      <c r="H79" s="40">
        <v>-56</v>
      </c>
      <c r="I79" s="40">
        <v>297</v>
      </c>
      <c r="J79" s="40">
        <v>297</v>
      </c>
      <c r="K79" s="40">
        <v>505</v>
      </c>
      <c r="L79" s="40">
        <v>0</v>
      </c>
      <c r="M79" s="41">
        <v>335</v>
      </c>
      <c r="N79" s="40">
        <v>1</v>
      </c>
      <c r="O79" s="40">
        <v>0</v>
      </c>
      <c r="P79" s="40">
        <v>0</v>
      </c>
      <c r="Q79" s="40">
        <v>0</v>
      </c>
      <c r="R79" s="40">
        <f t="shared" si="53"/>
        <v>0</v>
      </c>
      <c r="S79" s="40">
        <v>0</v>
      </c>
      <c r="T79" s="47">
        <v>0</v>
      </c>
      <c r="U79">
        <v>-0.20199999999999999</v>
      </c>
      <c r="V79" s="5">
        <f t="shared" si="38"/>
        <v>0.54411764705882348</v>
      </c>
      <c r="W79" s="5">
        <f t="shared" si="39"/>
        <v>0</v>
      </c>
      <c r="X79" s="5">
        <f t="shared" si="40"/>
        <v>-0.20220588235294118</v>
      </c>
      <c r="Y79" s="5">
        <f t="shared" si="41"/>
        <v>-0.20588235294117646</v>
      </c>
      <c r="Z79" s="5">
        <f t="shared" si="42"/>
        <v>0</v>
      </c>
      <c r="AA79" s="5">
        <f t="shared" si="43"/>
        <v>-0.20588235294117646</v>
      </c>
      <c r="AB79" s="5">
        <f t="shared" si="44"/>
        <v>-0.16716417910447762</v>
      </c>
      <c r="AC79" s="5">
        <f t="shared" si="45"/>
        <v>-1.4473684210526316</v>
      </c>
      <c r="AD79" s="5">
        <f t="shared" si="46"/>
        <v>-0.11089108910891089</v>
      </c>
      <c r="AE79" s="3"/>
      <c r="AF79" s="3"/>
      <c r="AG79" s="2">
        <f t="shared" si="48"/>
        <v>-297</v>
      </c>
      <c r="AH79" s="3">
        <f t="shared" si="49"/>
        <v>0</v>
      </c>
      <c r="AI79" s="3">
        <f t="shared" si="50"/>
        <v>0</v>
      </c>
      <c r="AJ79" s="3">
        <f t="shared" si="51"/>
        <v>0</v>
      </c>
      <c r="AK79" s="3">
        <f t="shared" si="55"/>
        <v>-55</v>
      </c>
      <c r="AL79" s="3">
        <f t="shared" si="52"/>
        <v>1.5074626865671641</v>
      </c>
      <c r="AO79" s="5">
        <f>('Cash Flow'!E79+'Cash Flow'!F79)/Ratios!C79</f>
        <v>-0.22794117647058823</v>
      </c>
    </row>
    <row r="80" spans="1:43" x14ac:dyDescent="0.35">
      <c r="A80" s="7" t="s">
        <v>60</v>
      </c>
      <c r="B80" s="8">
        <v>39447</v>
      </c>
      <c r="C80" s="45">
        <f>'Income Statement'!C80</f>
        <v>153</v>
      </c>
      <c r="D80" s="45">
        <f>'Income Statement'!E80</f>
        <v>112</v>
      </c>
      <c r="E80" s="43"/>
      <c r="F80" s="45">
        <f>'Income Statement'!L80</f>
        <v>-124</v>
      </c>
      <c r="G80" s="45">
        <v>-138</v>
      </c>
      <c r="H80" s="45">
        <v>-138</v>
      </c>
      <c r="I80" s="45">
        <v>305</v>
      </c>
      <c r="J80" s="45">
        <v>305</v>
      </c>
      <c r="K80" s="45">
        <v>448</v>
      </c>
      <c r="L80" s="45">
        <v>0</v>
      </c>
      <c r="M80" s="43">
        <v>273</v>
      </c>
      <c r="N80" s="45">
        <v>11</v>
      </c>
      <c r="O80" s="45">
        <v>0</v>
      </c>
      <c r="P80" s="45">
        <v>0</v>
      </c>
      <c r="Q80" s="45">
        <v>0</v>
      </c>
      <c r="R80" s="45">
        <f t="shared" si="53"/>
        <v>0</v>
      </c>
      <c r="S80" s="45">
        <v>0</v>
      </c>
      <c r="T80" s="48">
        <v>0</v>
      </c>
      <c r="U80" s="7">
        <v>-0.81099999999999994</v>
      </c>
      <c r="V80" s="10">
        <f t="shared" si="38"/>
        <v>0.73202614379084963</v>
      </c>
      <c r="W80" s="10">
        <f t="shared" si="39"/>
        <v>0</v>
      </c>
      <c r="X80" s="10">
        <f t="shared" si="40"/>
        <v>-0.81045751633986929</v>
      </c>
      <c r="Y80" s="10">
        <f t="shared" si="41"/>
        <v>-0.90196078431372551</v>
      </c>
      <c r="Z80" s="10">
        <f t="shared" si="42"/>
        <v>0</v>
      </c>
      <c r="AA80" s="10">
        <f t="shared" si="43"/>
        <v>-0.90196078431372551</v>
      </c>
      <c r="AB80" s="10">
        <f t="shared" si="44"/>
        <v>-0.50549450549450547</v>
      </c>
      <c r="AC80" s="10">
        <f t="shared" si="45"/>
        <v>3.875</v>
      </c>
      <c r="AD80" s="10">
        <f t="shared" si="46"/>
        <v>-0.3080357142857143</v>
      </c>
      <c r="AE80" s="50"/>
      <c r="AF80" s="50"/>
      <c r="AG80" s="9">
        <f t="shared" si="48"/>
        <v>-305</v>
      </c>
      <c r="AH80" s="50">
        <f t="shared" si="49"/>
        <v>0</v>
      </c>
      <c r="AI80" s="50">
        <f t="shared" si="50"/>
        <v>0</v>
      </c>
      <c r="AJ80" s="50">
        <f t="shared" si="51"/>
        <v>0</v>
      </c>
      <c r="AK80" s="50">
        <f t="shared" si="55"/>
        <v>-11.272727272727273</v>
      </c>
      <c r="AL80" s="50">
        <f t="shared" si="52"/>
        <v>1.641025641025641</v>
      </c>
      <c r="AM80" s="7"/>
      <c r="AN80" s="7"/>
      <c r="AO80" s="10">
        <f>('Cash Flow'!E80+'Cash Flow'!F80)/Ratios!C80</f>
        <v>-0.28758169934640521</v>
      </c>
      <c r="AP80" s="7"/>
      <c r="AQ8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EB44-6E10-4403-A5F9-3CBCED2AB87F}">
  <dimension ref="A1:M24"/>
  <sheetViews>
    <sheetView workbookViewId="0">
      <selection activeCell="D10" sqref="D10"/>
    </sheetView>
  </sheetViews>
  <sheetFormatPr defaultRowHeight="14.5" x14ac:dyDescent="0.35"/>
  <cols>
    <col min="3" max="3" width="10.81640625" bestFit="1" customWidth="1"/>
    <col min="4" max="4" width="11.81640625" bestFit="1" customWidth="1"/>
    <col min="5" max="5" width="17.1796875" bestFit="1" customWidth="1"/>
    <col min="9" max="9" width="11.453125" bestFit="1" customWidth="1"/>
    <col min="10" max="10" width="8.90625" bestFit="1" customWidth="1"/>
  </cols>
  <sheetData>
    <row r="1" spans="1:13" x14ac:dyDescent="0.35">
      <c r="A1" t="s">
        <v>119</v>
      </c>
      <c r="B1" t="s">
        <v>130</v>
      </c>
      <c r="C1" t="s">
        <v>118</v>
      </c>
      <c r="D1" t="s">
        <v>126</v>
      </c>
    </row>
    <row r="2" spans="1:13" x14ac:dyDescent="0.35">
      <c r="A2" t="s">
        <v>17</v>
      </c>
      <c r="B2" s="2">
        <f>I21+Ratios!AG2</f>
        <v>2878822</v>
      </c>
      <c r="C2" s="6">
        <f>B2/Ratios!E2</f>
        <v>19.754355627834848</v>
      </c>
      <c r="D2" s="5">
        <v>9.5015268709387313E-2</v>
      </c>
    </row>
    <row r="3" spans="1:13" x14ac:dyDescent="0.35">
      <c r="A3" t="s">
        <v>58</v>
      </c>
      <c r="B3" s="2">
        <f>I22+Ratios!AG22</f>
        <v>3031586</v>
      </c>
      <c r="C3" s="6">
        <f>B3/Ratios!E22</f>
        <v>19.367691403454973</v>
      </c>
      <c r="D3" s="5">
        <v>8.3939728646424211E-2</v>
      </c>
    </row>
    <row r="4" spans="1:13" x14ac:dyDescent="0.35">
      <c r="A4" t="s">
        <v>59</v>
      </c>
      <c r="B4" s="2">
        <f>I23+Ratios!AG42</f>
        <v>4756700</v>
      </c>
      <c r="C4" s="6">
        <f>B4/Ratios!E42</f>
        <v>30.418545163868906</v>
      </c>
      <c r="D4" s="5">
        <v>9.1120236158654583E-2</v>
      </c>
    </row>
    <row r="5" spans="1:13" x14ac:dyDescent="0.35">
      <c r="A5" t="s">
        <v>60</v>
      </c>
      <c r="B5" s="2">
        <f>I24+Ratios!AG62</f>
        <v>1524152</v>
      </c>
      <c r="C5" s="6">
        <f>B5/Ratios!E62</f>
        <v>14.923792458557315</v>
      </c>
      <c r="D5" s="5">
        <v>9.2886237590395299E-2</v>
      </c>
    </row>
    <row r="7" spans="1:13" x14ac:dyDescent="0.35">
      <c r="M7" s="2"/>
    </row>
    <row r="8" spans="1:13" x14ac:dyDescent="0.35">
      <c r="M8" s="2"/>
    </row>
    <row r="9" spans="1:13" x14ac:dyDescent="0.35">
      <c r="M9" s="2"/>
    </row>
    <row r="10" spans="1:13" x14ac:dyDescent="0.35">
      <c r="M10" s="2"/>
    </row>
    <row r="11" spans="1:13" x14ac:dyDescent="0.35">
      <c r="M11" s="2"/>
    </row>
    <row r="12" spans="1:13" x14ac:dyDescent="0.35">
      <c r="M12" s="2"/>
    </row>
    <row r="13" spans="1:13" x14ac:dyDescent="0.35">
      <c r="M13" s="2"/>
    </row>
    <row r="14" spans="1:13" x14ac:dyDescent="0.35">
      <c r="M14" s="2"/>
    </row>
    <row r="15" spans="1:13" x14ac:dyDescent="0.35">
      <c r="M15" s="2"/>
    </row>
    <row r="20" spans="2:13" x14ac:dyDescent="0.35">
      <c r="B20" t="s">
        <v>119</v>
      </c>
      <c r="C20" t="s">
        <v>120</v>
      </c>
      <c r="D20" t="s">
        <v>125</v>
      </c>
      <c r="E20" t="s">
        <v>121</v>
      </c>
      <c r="F20" t="s">
        <v>122</v>
      </c>
      <c r="G20" t="s">
        <v>123</v>
      </c>
      <c r="H20" t="s">
        <v>124</v>
      </c>
      <c r="I20" s="3" t="s">
        <v>100</v>
      </c>
      <c r="J20" t="s">
        <v>127</v>
      </c>
      <c r="K20" t="s">
        <v>128</v>
      </c>
      <c r="L20" t="s">
        <v>129</v>
      </c>
      <c r="M20" t="s">
        <v>126</v>
      </c>
    </row>
    <row r="21" spans="2:13" x14ac:dyDescent="0.35">
      <c r="B21" t="s">
        <v>17</v>
      </c>
      <c r="C21" s="5">
        <v>4.3999999999999997E-2</v>
      </c>
      <c r="D21" s="5">
        <f>G21+F21*H21</f>
        <v>0.10050000000000001</v>
      </c>
      <c r="E21" s="5">
        <f>AVERAGE(Ratios!$Z2:$Z7)</f>
        <v>0.21881783225818885</v>
      </c>
      <c r="F21">
        <v>1.26</v>
      </c>
      <c r="G21" s="5">
        <v>3.7499999999999999E-2</v>
      </c>
      <c r="H21" s="4">
        <v>0.05</v>
      </c>
      <c r="I21" s="2">
        <v>2933000</v>
      </c>
      <c r="J21" s="2">
        <f>Ratios!Q2*(0.041/C21)</f>
        <v>64156.61363636364</v>
      </c>
      <c r="K21" s="5">
        <f>J21/SUM(I21:J21)</f>
        <v>2.140582622358338E-2</v>
      </c>
      <c r="L21" s="5">
        <f>I21/SUM(I21:J21)</f>
        <v>0.97859417377641655</v>
      </c>
      <c r="M21" s="5">
        <f>((C21*1-E21)*K21)+(D21*L21)</f>
        <v>9.4606594326427526E-2</v>
      </c>
    </row>
    <row r="22" spans="2:13" x14ac:dyDescent="0.35">
      <c r="B22" t="s">
        <v>58</v>
      </c>
      <c r="C22" s="5">
        <v>4.1599999999999998E-2</v>
      </c>
      <c r="D22" s="5">
        <f t="shared" ref="D22:D24" si="0">G22+F22*H22</f>
        <v>8.9499999999999996E-2</v>
      </c>
      <c r="E22" s="5">
        <f>AVERAGE(Ratios!$Z22:$Z27)</f>
        <v>0.16381208277890591</v>
      </c>
      <c r="F22">
        <v>1.04</v>
      </c>
      <c r="G22" s="5">
        <v>3.7499999999999999E-2</v>
      </c>
      <c r="H22" s="4">
        <v>0.05</v>
      </c>
      <c r="I22" s="2">
        <v>3083000</v>
      </c>
      <c r="J22" s="2">
        <f>Ratios!Q22</f>
        <v>43151</v>
      </c>
      <c r="K22" s="5">
        <f t="shared" ref="K22:K24" si="1">J22/SUM(I22:J22)</f>
        <v>1.3803235992119382E-2</v>
      </c>
      <c r="L22" s="5">
        <f t="shared" ref="L22:L24" si="2">I22/SUM(I22:J22)</f>
        <v>0.98619676400788059</v>
      </c>
      <c r="M22" s="5">
        <f t="shared" ref="M22:M24" si="3">((C22*1-E22)*K22)+(D22*L22)</f>
        <v>8.6577688159019645E-2</v>
      </c>
    </row>
    <row r="23" spans="2:13" x14ac:dyDescent="0.35">
      <c r="B23" t="s">
        <v>59</v>
      </c>
      <c r="C23" s="5">
        <v>4.2500000000000003E-2</v>
      </c>
      <c r="D23" s="5">
        <f t="shared" si="0"/>
        <v>9.2999999999999999E-2</v>
      </c>
      <c r="E23" s="5">
        <f>AVERAGE(Ratios!$Z42:$Z47)</f>
        <v>0.15917277172144548</v>
      </c>
      <c r="F23">
        <v>1.1100000000000001</v>
      </c>
      <c r="G23" s="5">
        <v>3.7499999999999999E-2</v>
      </c>
      <c r="H23" s="4">
        <v>0.05</v>
      </c>
      <c r="I23" s="2">
        <v>4835000</v>
      </c>
      <c r="J23" s="2">
        <f>Ratios!Q42*(0.0405/C23)</f>
        <v>46258.623529411765</v>
      </c>
      <c r="K23" s="5">
        <f t="shared" si="1"/>
        <v>9.4767819321083836E-3</v>
      </c>
      <c r="L23" s="5">
        <f t="shared" si="2"/>
        <v>0.99052321806789156</v>
      </c>
      <c r="M23" s="5">
        <f t="shared" si="3"/>
        <v>9.1012976865295123E-2</v>
      </c>
    </row>
    <row r="24" spans="2:13" x14ac:dyDescent="0.35">
      <c r="B24" t="s">
        <v>60</v>
      </c>
      <c r="C24" s="5">
        <v>4.4299999999999999E-2</v>
      </c>
      <c r="D24" s="5">
        <f t="shared" si="0"/>
        <v>0.10050000000000001</v>
      </c>
      <c r="E24" s="5">
        <f>AVERAGE(Ratios!$Z62:$Z67)</f>
        <v>0.17891769233565624</v>
      </c>
      <c r="F24">
        <v>1.26</v>
      </c>
      <c r="G24" s="5">
        <v>3.7499999999999999E-2</v>
      </c>
      <c r="H24" s="4">
        <v>0.05</v>
      </c>
      <c r="I24" s="2">
        <v>1547000</v>
      </c>
      <c r="J24" s="2">
        <f>Ratios!Q62*((0.048+0.042)/2)/C24</f>
        <v>59672.234762979686</v>
      </c>
      <c r="K24" s="5">
        <f t="shared" si="1"/>
        <v>3.7140266366638669E-2</v>
      </c>
      <c r="L24" s="5">
        <f t="shared" si="2"/>
        <v>0.9628597336333613</v>
      </c>
      <c r="M24" s="5">
        <f t="shared" si="3"/>
        <v>9.176766627914433E-2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A0D8-4547-4941-86A0-A21F9E09E9A4}">
  <dimension ref="B3:AD80"/>
  <sheetViews>
    <sheetView topLeftCell="F32" zoomScaleNormal="100" workbookViewId="0">
      <selection activeCell="F68" sqref="F68"/>
    </sheetView>
  </sheetViews>
  <sheetFormatPr defaultRowHeight="14.5" x14ac:dyDescent="0.35"/>
  <cols>
    <col min="2" max="7" width="11.6328125" bestFit="1" customWidth="1"/>
    <col min="8" max="8" width="10.54296875" customWidth="1"/>
    <col min="9" max="11" width="11.453125" bestFit="1" customWidth="1"/>
    <col min="12" max="12" width="9.1796875" bestFit="1" customWidth="1"/>
    <col min="13" max="13" width="11.6328125" bestFit="1" customWidth="1"/>
    <col min="14" max="19" width="12.54296875" customWidth="1"/>
    <col min="20" max="20" width="11.90625" customWidth="1"/>
    <col min="21" max="22" width="11.26953125" bestFit="1" customWidth="1"/>
    <col min="23" max="27" width="11.54296875" bestFit="1" customWidth="1"/>
    <col min="28" max="30" width="11.54296875" customWidth="1"/>
    <col min="32" max="32" width="74.90625" bestFit="1" customWidth="1"/>
    <col min="33" max="36" width="11.26953125" bestFit="1" customWidth="1"/>
  </cols>
  <sheetData>
    <row r="3" spans="2:30" ht="14.5" customHeight="1" x14ac:dyDescent="0.35">
      <c r="B3" s="13" t="s">
        <v>192</v>
      </c>
      <c r="C3" s="13"/>
      <c r="D3" s="13"/>
      <c r="E3" s="13"/>
      <c r="F3" s="13"/>
      <c r="G3" s="13"/>
      <c r="H3" s="13"/>
      <c r="N3" s="13" t="s">
        <v>189</v>
      </c>
      <c r="O3" s="13"/>
      <c r="P3" s="13"/>
      <c r="Q3" s="13"/>
      <c r="R3" s="13"/>
      <c r="S3" s="13"/>
    </row>
    <row r="4" spans="2:30" x14ac:dyDescent="0.35">
      <c r="B4" t="s">
        <v>177</v>
      </c>
      <c r="I4" s="13" t="s">
        <v>178</v>
      </c>
      <c r="J4" s="13" t="s">
        <v>139</v>
      </c>
      <c r="K4" s="13" t="s">
        <v>138</v>
      </c>
      <c r="L4" s="13" t="s">
        <v>190</v>
      </c>
      <c r="N4" t="s">
        <v>177</v>
      </c>
      <c r="T4" s="13" t="s">
        <v>178</v>
      </c>
      <c r="U4" s="13" t="s">
        <v>139</v>
      </c>
      <c r="V4" s="13" t="s">
        <v>138</v>
      </c>
      <c r="W4" s="12" t="s">
        <v>193</v>
      </c>
      <c r="X4" s="12" t="s">
        <v>194</v>
      </c>
      <c r="Y4" s="12" t="s">
        <v>195</v>
      </c>
      <c r="Z4" s="12" t="s">
        <v>196</v>
      </c>
      <c r="AA4" s="12" t="s">
        <v>197</v>
      </c>
      <c r="AB4" s="32"/>
      <c r="AC4" s="33"/>
      <c r="AD4" s="32"/>
    </row>
    <row r="5" spans="2:30" x14ac:dyDescent="0.35">
      <c r="B5" s="13" t="s">
        <v>94</v>
      </c>
      <c r="C5" s="13"/>
      <c r="D5" s="13"/>
      <c r="E5" s="13"/>
      <c r="F5" s="13"/>
      <c r="G5" s="13"/>
      <c r="H5" s="13"/>
      <c r="I5" s="4">
        <f t="shared" ref="I5:I15" si="0">T5/$T$5</f>
        <v>1</v>
      </c>
      <c r="J5" s="4">
        <f t="shared" ref="J5:J15" si="1">U5/$U$5</f>
        <v>1</v>
      </c>
      <c r="K5" s="4">
        <f t="shared" ref="K5:K15" si="2">V5/$V$5</f>
        <v>1</v>
      </c>
      <c r="L5" s="5">
        <f>(V5/T5)^(1/3)-1</f>
        <v>9.9564514819461269E-2</v>
      </c>
      <c r="N5" s="13" t="s">
        <v>94</v>
      </c>
      <c r="O5" s="13"/>
      <c r="P5" s="13"/>
      <c r="Q5" s="13"/>
      <c r="R5" s="13"/>
      <c r="S5" s="13"/>
      <c r="T5" s="2">
        <v>211915</v>
      </c>
      <c r="U5" s="2">
        <v>245122</v>
      </c>
      <c r="V5" s="2">
        <v>281724</v>
      </c>
      <c r="W5" s="2">
        <f>V5*(1+($L$5))</f>
        <v>309773.71337299788</v>
      </c>
      <c r="X5" s="2">
        <f>W5*(1+($L$5*(1-0.15745136)^1))</f>
        <v>335759.99408407917</v>
      </c>
      <c r="Y5" s="2">
        <f>X5*(1+($L$5*(1-0.15745136)^2))</f>
        <v>359491.40143827803</v>
      </c>
      <c r="Z5" s="2">
        <f>Y5*(1+($L$5*(1-0.15745136)^3))</f>
        <v>380899.49699473474</v>
      </c>
      <c r="AA5" s="2">
        <f>Z5*(1+($L$5*(1-0.15745136)^4))</f>
        <v>400011.00288264267</v>
      </c>
      <c r="AB5" s="14"/>
      <c r="AC5" s="14"/>
      <c r="AD5" s="5"/>
    </row>
    <row r="6" spans="2:30" x14ac:dyDescent="0.35">
      <c r="B6" s="7" t="s">
        <v>179</v>
      </c>
      <c r="C6" s="7"/>
      <c r="D6" s="7"/>
      <c r="E6" s="7"/>
      <c r="F6" s="7"/>
      <c r="G6" s="7"/>
      <c r="H6" s="7"/>
      <c r="I6" s="11">
        <f t="shared" si="0"/>
        <v>0.31079914116508978</v>
      </c>
      <c r="J6" s="11">
        <f t="shared" si="1"/>
        <v>0.30235556172028621</v>
      </c>
      <c r="K6" s="11">
        <f t="shared" si="2"/>
        <v>0.31176257613834818</v>
      </c>
      <c r="L6" s="11">
        <f>AVERAGE(I6:K6)</f>
        <v>0.30830575967457469</v>
      </c>
      <c r="N6" t="s">
        <v>179</v>
      </c>
      <c r="T6" s="2">
        <v>65863</v>
      </c>
      <c r="U6" s="2">
        <v>74114</v>
      </c>
      <c r="V6" s="2">
        <v>87831</v>
      </c>
      <c r="W6" s="9">
        <f>W$5*$L6</f>
        <v>95505.020028676066</v>
      </c>
      <c r="X6" s="9">
        <f>X$5*$L6</f>
        <v>103516.74004442272</v>
      </c>
      <c r="Y6" s="9">
        <f>Y$5*$L6</f>
        <v>110833.2696169058</v>
      </c>
      <c r="Z6" s="9">
        <f>Z$5*$L6</f>
        <v>117433.50878062507</v>
      </c>
      <c r="AA6" s="9">
        <f>AA$5*$L6</f>
        <v>123325.69612192163</v>
      </c>
      <c r="AB6" s="2"/>
      <c r="AC6" s="2"/>
      <c r="AD6" s="5"/>
    </row>
    <row r="7" spans="2:30" x14ac:dyDescent="0.35">
      <c r="B7" s="13" t="s">
        <v>180</v>
      </c>
      <c r="C7" s="13"/>
      <c r="D7" s="13"/>
      <c r="E7" s="13"/>
      <c r="F7" s="13"/>
      <c r="G7" s="13"/>
      <c r="H7" s="13"/>
      <c r="I7" s="4">
        <f t="shared" si="0"/>
        <v>0.68920085883491022</v>
      </c>
      <c r="J7" s="4">
        <f t="shared" si="1"/>
        <v>0.69764443827971379</v>
      </c>
      <c r="K7" s="4">
        <f t="shared" si="2"/>
        <v>0.68823742386165188</v>
      </c>
      <c r="L7" s="4">
        <f t="shared" ref="L7:L15" si="3">AVERAGE(I7:K7)</f>
        <v>0.69169424032542537</v>
      </c>
      <c r="N7" s="21" t="s">
        <v>180</v>
      </c>
      <c r="O7" s="21"/>
      <c r="P7" s="21"/>
      <c r="Q7" s="21"/>
      <c r="R7" s="21"/>
      <c r="S7" s="21"/>
      <c r="T7" s="17">
        <f>T5-T6</f>
        <v>146052</v>
      </c>
      <c r="U7" s="17">
        <f>U5-U6</f>
        <v>171008</v>
      </c>
      <c r="V7" s="17">
        <f t="shared" ref="V7:AA7" si="4">V5-V6</f>
        <v>193893</v>
      </c>
      <c r="W7" s="17">
        <f t="shared" si="4"/>
        <v>214268.6933443218</v>
      </c>
      <c r="X7" s="17">
        <f t="shared" si="4"/>
        <v>232243.25403965643</v>
      </c>
      <c r="Y7" s="17">
        <f t="shared" si="4"/>
        <v>248658.13182137223</v>
      </c>
      <c r="Z7" s="17">
        <f t="shared" si="4"/>
        <v>263465.98821410968</v>
      </c>
      <c r="AA7" s="17">
        <f t="shared" si="4"/>
        <v>276685.30676072103</v>
      </c>
      <c r="AB7" s="34"/>
      <c r="AC7" s="2"/>
      <c r="AD7" s="5"/>
    </row>
    <row r="8" spans="2:30" x14ac:dyDescent="0.35">
      <c r="B8" t="s">
        <v>181</v>
      </c>
      <c r="I8" s="4">
        <f t="shared" si="0"/>
        <v>0.12832975485454073</v>
      </c>
      <c r="J8" s="4">
        <f t="shared" si="1"/>
        <v>0.12038903076835208</v>
      </c>
      <c r="K8" s="4">
        <f t="shared" si="2"/>
        <v>0.11531853871164686</v>
      </c>
      <c r="L8" s="4">
        <f t="shared" si="3"/>
        <v>0.12134577477817989</v>
      </c>
      <c r="N8" t="s">
        <v>181</v>
      </c>
      <c r="T8" s="2">
        <v>27195</v>
      </c>
      <c r="U8" s="2">
        <v>29510</v>
      </c>
      <c r="V8" s="2">
        <v>32488</v>
      </c>
      <c r="W8" s="2">
        <f t="shared" ref="W8:AA10" si="5">W$5*$L8</f>
        <v>37589.731255160252</v>
      </c>
      <c r="X8" s="2">
        <f t="shared" si="5"/>
        <v>40743.056621649681</v>
      </c>
      <c r="Y8" s="2">
        <f t="shared" si="5"/>
        <v>43622.76263362154</v>
      </c>
      <c r="Z8" s="2">
        <f t="shared" si="5"/>
        <v>46220.544575445085</v>
      </c>
      <c r="AA8" s="2">
        <f t="shared" si="5"/>
        <v>48539.645064591023</v>
      </c>
      <c r="AB8" s="2"/>
      <c r="AC8" s="2"/>
      <c r="AD8" s="5"/>
    </row>
    <row r="9" spans="2:30" x14ac:dyDescent="0.35">
      <c r="B9" t="s">
        <v>182</v>
      </c>
      <c r="I9" s="4">
        <f t="shared" si="0"/>
        <v>0.10739683363612769</v>
      </c>
      <c r="J9" s="4">
        <f t="shared" si="1"/>
        <v>9.9770726413785787E-2</v>
      </c>
      <c r="K9" s="4">
        <f t="shared" si="2"/>
        <v>9.1060754497309424E-2</v>
      </c>
      <c r="L9" s="4">
        <f t="shared" si="3"/>
        <v>9.9409438182407647E-2</v>
      </c>
      <c r="N9" t="s">
        <v>182</v>
      </c>
      <c r="T9" s="2">
        <v>22759</v>
      </c>
      <c r="U9" s="2">
        <v>24456</v>
      </c>
      <c r="V9" s="2">
        <v>25654</v>
      </c>
      <c r="W9" s="2">
        <f t="shared" si="5"/>
        <v>30794.430810087899</v>
      </c>
      <c r="X9" s="2">
        <f t="shared" si="5"/>
        <v>33377.712376026822</v>
      </c>
      <c r="Y9" s="2">
        <f t="shared" si="5"/>
        <v>35736.838248385589</v>
      </c>
      <c r="Z9" s="2">
        <f t="shared" si="5"/>
        <v>37865.00500020825</v>
      </c>
      <c r="AA9" s="2">
        <f t="shared" si="5"/>
        <v>39764.869063344951</v>
      </c>
      <c r="AB9" s="2"/>
      <c r="AC9" s="2"/>
      <c r="AD9" s="14"/>
    </row>
    <row r="10" spans="2:30" x14ac:dyDescent="0.35">
      <c r="B10" s="7" t="s">
        <v>183</v>
      </c>
      <c r="C10" s="7"/>
      <c r="D10" s="7"/>
      <c r="E10" s="7"/>
      <c r="F10" s="7"/>
      <c r="G10" s="7"/>
      <c r="H10" s="7"/>
      <c r="I10" s="11">
        <f t="shared" si="0"/>
        <v>3.5745463983200811E-2</v>
      </c>
      <c r="J10" s="11">
        <f t="shared" si="1"/>
        <v>3.1041685364838735E-2</v>
      </c>
      <c r="K10" s="11">
        <f t="shared" si="2"/>
        <v>2.5638568244097059E-2</v>
      </c>
      <c r="L10" s="11">
        <f t="shared" si="3"/>
        <v>3.0808572530712203E-2</v>
      </c>
      <c r="N10" t="s">
        <v>183</v>
      </c>
      <c r="T10" s="2">
        <v>7575</v>
      </c>
      <c r="U10" s="2">
        <v>7609</v>
      </c>
      <c r="V10" s="2">
        <v>7223</v>
      </c>
      <c r="W10" s="9">
        <f t="shared" si="5"/>
        <v>9543.6859165600581</v>
      </c>
      <c r="X10" s="9">
        <f t="shared" si="5"/>
        <v>10344.286130650853</v>
      </c>
      <c r="Y10" s="9">
        <f t="shared" si="5"/>
        <v>11075.416915378566</v>
      </c>
      <c r="Z10" s="9">
        <f t="shared" si="5"/>
        <v>11734.96978007408</v>
      </c>
      <c r="AA10" s="9">
        <f t="shared" si="5"/>
        <v>12323.767995392825</v>
      </c>
      <c r="AB10" s="2"/>
      <c r="AC10" s="2"/>
      <c r="AD10" s="2"/>
    </row>
    <row r="11" spans="2:30" x14ac:dyDescent="0.35">
      <c r="B11" s="13" t="s">
        <v>184</v>
      </c>
      <c r="C11" s="13"/>
      <c r="D11" s="13"/>
      <c r="E11" s="13"/>
      <c r="F11" s="13"/>
      <c r="G11" s="13"/>
      <c r="H11" s="13"/>
      <c r="I11" s="4">
        <f t="shared" si="0"/>
        <v>0.41772880636104098</v>
      </c>
      <c r="J11" s="4">
        <f t="shared" si="1"/>
        <v>0.44644299573273716</v>
      </c>
      <c r="K11" s="4">
        <f t="shared" si="2"/>
        <v>0.45621956240859851</v>
      </c>
      <c r="L11" s="4">
        <f t="shared" si="3"/>
        <v>0.44013045483412555</v>
      </c>
      <c r="N11" s="20" t="s">
        <v>184</v>
      </c>
      <c r="O11" s="20"/>
      <c r="P11" s="20"/>
      <c r="Q11" s="20"/>
      <c r="R11" s="20"/>
      <c r="S11" s="20"/>
      <c r="T11" s="17">
        <f>T7-SUM(T8:T10)</f>
        <v>88523</v>
      </c>
      <c r="U11" s="17">
        <f>U7-SUM(U8:U10)</f>
        <v>109433</v>
      </c>
      <c r="V11" s="17">
        <f t="shared" ref="V11:AA11" si="6">V7-SUM(V8:V10)</f>
        <v>128528</v>
      </c>
      <c r="W11" s="17">
        <f t="shared" si="6"/>
        <v>136340.84536251359</v>
      </c>
      <c r="X11" s="17">
        <f t="shared" si="6"/>
        <v>147778.19891132909</v>
      </c>
      <c r="Y11" s="17">
        <f t="shared" si="6"/>
        <v>158223.11402398653</v>
      </c>
      <c r="Z11" s="17">
        <f t="shared" si="6"/>
        <v>167645.46885838226</v>
      </c>
      <c r="AA11" s="17">
        <f t="shared" si="6"/>
        <v>176057.0246373922</v>
      </c>
      <c r="AB11" s="2"/>
      <c r="AC11" s="2"/>
      <c r="AD11" s="2"/>
    </row>
    <row r="12" spans="2:30" x14ac:dyDescent="0.35">
      <c r="B12" t="s">
        <v>185</v>
      </c>
      <c r="I12" s="4">
        <f t="shared" si="0"/>
        <v>3.7184720288795034E-3</v>
      </c>
      <c r="J12" s="4">
        <f t="shared" si="1"/>
        <v>-6.715023539298798E-3</v>
      </c>
      <c r="K12" s="4">
        <f t="shared" si="2"/>
        <v>-1.7396458945634734E-2</v>
      </c>
      <c r="L12" s="4">
        <f t="shared" si="3"/>
        <v>-6.7976701520180089E-3</v>
      </c>
      <c r="N12" t="s">
        <v>185</v>
      </c>
      <c r="T12">
        <v>788</v>
      </c>
      <c r="U12" s="2">
        <v>-1646</v>
      </c>
      <c r="V12" s="2">
        <v>-4901</v>
      </c>
      <c r="W12" s="9">
        <f>W$5*$L12</f>
        <v>-2105.7395252754095</v>
      </c>
      <c r="X12" s="9">
        <f>X$5*$L12</f>
        <v>-2282.385690027088</v>
      </c>
      <c r="Y12" s="9">
        <f>Y$5*$L12</f>
        <v>-2443.7039694641066</v>
      </c>
      <c r="Z12" s="9">
        <f>Z$5*$L12</f>
        <v>-2589.2291416397816</v>
      </c>
      <c r="AA12" s="9">
        <f>AA$5*$L12</f>
        <v>-2719.1428547741298</v>
      </c>
    </row>
    <row r="13" spans="2:30" x14ac:dyDescent="0.35">
      <c r="B13" t="s">
        <v>186</v>
      </c>
      <c r="I13" s="4">
        <f t="shared" si="0"/>
        <v>0.42144727838992047</v>
      </c>
      <c r="J13" s="4">
        <f t="shared" si="1"/>
        <v>0.43972797219343834</v>
      </c>
      <c r="K13" s="4">
        <f t="shared" si="2"/>
        <v>0.43882310346296377</v>
      </c>
      <c r="L13" s="4">
        <f t="shared" si="3"/>
        <v>0.43333278468210751</v>
      </c>
      <c r="N13" s="20" t="s">
        <v>186</v>
      </c>
      <c r="O13" s="20"/>
      <c r="P13" s="20"/>
      <c r="Q13" s="20"/>
      <c r="R13" s="20"/>
      <c r="S13" s="20"/>
      <c r="T13" s="17">
        <f>T11+T12</f>
        <v>89311</v>
      </c>
      <c r="U13" s="17">
        <f>U11+U12</f>
        <v>107787</v>
      </c>
      <c r="V13" s="17">
        <f t="shared" ref="V13:AA13" si="7">V11+V12</f>
        <v>123627</v>
      </c>
      <c r="W13" s="17">
        <f t="shared" si="7"/>
        <v>134235.10583723817</v>
      </c>
      <c r="X13" s="17">
        <f t="shared" si="7"/>
        <v>145495.813221302</v>
      </c>
      <c r="Y13" s="17">
        <f t="shared" si="7"/>
        <v>155779.41005452242</v>
      </c>
      <c r="Z13" s="17">
        <f t="shared" si="7"/>
        <v>165056.23971674248</v>
      </c>
      <c r="AA13" s="17">
        <f t="shared" si="7"/>
        <v>173337.88178261806</v>
      </c>
      <c r="AB13" s="2"/>
      <c r="AC13" s="2"/>
      <c r="AD13" s="2"/>
    </row>
    <row r="14" spans="2:30" x14ac:dyDescent="0.35">
      <c r="B14" t="s">
        <v>187</v>
      </c>
      <c r="I14" s="4">
        <f t="shared" si="0"/>
        <v>7.9984899605974089E-2</v>
      </c>
      <c r="J14" s="4">
        <f t="shared" si="1"/>
        <v>8.0168242752588506E-2</v>
      </c>
      <c r="K14" s="4">
        <f t="shared" si="2"/>
        <v>7.7362950973293015E-2</v>
      </c>
      <c r="L14" s="4">
        <f t="shared" si="3"/>
        <v>7.9172031110618532E-2</v>
      </c>
      <c r="N14" t="s">
        <v>187</v>
      </c>
      <c r="T14" s="2">
        <v>16950</v>
      </c>
      <c r="U14" s="2">
        <v>19651</v>
      </c>
      <c r="V14" s="2">
        <v>21795</v>
      </c>
      <c r="W14" s="2">
        <f>W$5*$L14</f>
        <v>24525.414072418815</v>
      </c>
      <c r="X14" s="2">
        <f>X$5*$L14</f>
        <v>26582.800697325809</v>
      </c>
      <c r="Y14" s="2">
        <f>Y$5*$L14</f>
        <v>28461.664418671204</v>
      </c>
      <c r="Z14" s="2">
        <f>Z$5*$L14</f>
        <v>30156.586826086088</v>
      </c>
      <c r="AA14" s="2">
        <f>AA$5*$L14</f>
        <v>31669.683564814306</v>
      </c>
      <c r="AB14" s="2"/>
      <c r="AC14" s="2"/>
      <c r="AD14" s="2"/>
    </row>
    <row r="15" spans="2:30" ht="15" thickBot="1" x14ac:dyDescent="0.4">
      <c r="B15" s="19" t="s">
        <v>188</v>
      </c>
      <c r="C15" s="19"/>
      <c r="D15" s="19"/>
      <c r="E15" s="19"/>
      <c r="F15" s="19"/>
      <c r="G15" s="19"/>
      <c r="H15" s="19"/>
      <c r="I15" s="28">
        <f t="shared" si="0"/>
        <v>0.34146237878394642</v>
      </c>
      <c r="J15" s="28">
        <f t="shared" si="1"/>
        <v>0.35955972944084985</v>
      </c>
      <c r="K15" s="28">
        <f t="shared" si="2"/>
        <v>0.36146015248967073</v>
      </c>
      <c r="L15" s="28">
        <f t="shared" si="3"/>
        <v>0.35416075357148902</v>
      </c>
      <c r="N15" s="19" t="s">
        <v>188</v>
      </c>
      <c r="O15" s="19"/>
      <c r="P15" s="19"/>
      <c r="Q15" s="19"/>
      <c r="R15" s="19"/>
      <c r="S15" s="19"/>
      <c r="T15" s="22">
        <f>T13-T14</f>
        <v>72361</v>
      </c>
      <c r="U15" s="22">
        <f>U13-U14</f>
        <v>88136</v>
      </c>
      <c r="V15" s="22">
        <f t="shared" ref="V15:AA15" si="8">V13-V14</f>
        <v>101832</v>
      </c>
      <c r="W15" s="22">
        <f t="shared" si="8"/>
        <v>109709.69176481935</v>
      </c>
      <c r="X15" s="22">
        <f t="shared" si="8"/>
        <v>118913.01252397618</v>
      </c>
      <c r="Y15" s="22">
        <f t="shared" si="8"/>
        <v>127317.74563585121</v>
      </c>
      <c r="Z15" s="22">
        <f t="shared" si="8"/>
        <v>134899.65289065638</v>
      </c>
      <c r="AA15" s="22">
        <f t="shared" si="8"/>
        <v>141668.19821780376</v>
      </c>
      <c r="AB15" s="30"/>
      <c r="AC15" s="30"/>
      <c r="AD15" s="30"/>
    </row>
    <row r="16" spans="2:30" ht="15" thickTop="1" x14ac:dyDescent="0.35">
      <c r="I16" s="4"/>
      <c r="J16" s="4"/>
      <c r="K16" s="4"/>
    </row>
    <row r="17" spans="2:30" x14ac:dyDescent="0.35">
      <c r="I17" s="4"/>
      <c r="J17" s="4"/>
      <c r="K17" s="4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2:30" x14ac:dyDescent="0.35"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35"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2:30" x14ac:dyDescent="0.35">
      <c r="B20" s="13" t="s">
        <v>191</v>
      </c>
      <c r="C20" s="13"/>
      <c r="D20" s="13"/>
      <c r="E20" s="13"/>
      <c r="F20" s="13"/>
      <c r="G20" s="13"/>
      <c r="H20" s="13"/>
      <c r="J20" s="13" t="s">
        <v>139</v>
      </c>
      <c r="K20" s="13" t="s">
        <v>138</v>
      </c>
      <c r="N20" s="13" t="s">
        <v>198</v>
      </c>
      <c r="O20" s="13"/>
      <c r="P20" s="13"/>
      <c r="Q20" s="13"/>
      <c r="R20" s="13"/>
      <c r="S20" s="13"/>
      <c r="T20" s="13" t="s">
        <v>178</v>
      </c>
      <c r="U20" s="13" t="s">
        <v>139</v>
      </c>
      <c r="V20" s="13" t="s">
        <v>138</v>
      </c>
      <c r="W20" s="12" t="s">
        <v>193</v>
      </c>
      <c r="X20" s="12" t="s">
        <v>194</v>
      </c>
      <c r="Y20" s="12" t="s">
        <v>195</v>
      </c>
      <c r="Z20" s="12" t="s">
        <v>196</v>
      </c>
      <c r="AA20" s="12" t="s">
        <v>197</v>
      </c>
      <c r="AB20" s="12"/>
      <c r="AC20" s="12"/>
      <c r="AD20" s="12"/>
    </row>
    <row r="21" spans="2:30" x14ac:dyDescent="0.35">
      <c r="B21" s="13" t="s">
        <v>140</v>
      </c>
      <c r="C21" s="13"/>
      <c r="D21" s="13"/>
      <c r="E21" s="13"/>
      <c r="F21" s="13"/>
      <c r="G21" s="13"/>
      <c r="H21" s="13"/>
      <c r="N21" s="13" t="s">
        <v>140</v>
      </c>
      <c r="O21" s="13"/>
      <c r="P21" s="13"/>
      <c r="Q21" s="13"/>
      <c r="R21" s="13"/>
      <c r="S21" s="13"/>
      <c r="T21" s="14"/>
      <c r="W21" s="14"/>
      <c r="X21" s="14"/>
      <c r="Y21" s="14"/>
      <c r="Z21" s="14"/>
      <c r="AA21" s="14"/>
      <c r="AB21" s="14"/>
      <c r="AC21" s="14"/>
      <c r="AD21" s="14"/>
    </row>
    <row r="22" spans="2:30" x14ac:dyDescent="0.35">
      <c r="B22" t="s">
        <v>141</v>
      </c>
      <c r="I22" s="5">
        <f>T22/$U$5</f>
        <v>0.14157847928786482</v>
      </c>
      <c r="J22" s="5">
        <f>U22/$U$5</f>
        <v>7.4717895578528246E-2</v>
      </c>
      <c r="K22" s="5">
        <f t="shared" ref="K22:K36" si="9">V22/$V$5</f>
        <v>0.10734619698712215</v>
      </c>
      <c r="L22" s="4">
        <f>AVERAGE(I22:K22)</f>
        <v>0.10788085728450508</v>
      </c>
      <c r="N22" s="23" t="s">
        <v>141</v>
      </c>
      <c r="O22" s="23"/>
      <c r="P22" s="23"/>
      <c r="Q22" s="23"/>
      <c r="R22" s="23"/>
      <c r="S22" s="23"/>
      <c r="T22" s="2">
        <v>34704</v>
      </c>
      <c r="U22" s="2">
        <v>18315</v>
      </c>
      <c r="V22" s="2">
        <v>30242</v>
      </c>
      <c r="W22" s="2">
        <f t="shared" ref="W22:AA23" si="10">W$5*$L22</f>
        <v>33418.653762883565</v>
      </c>
      <c r="X22" s="2">
        <f t="shared" si="10"/>
        <v>36222.076003630813</v>
      </c>
      <c r="Y22" s="2">
        <f t="shared" si="10"/>
        <v>38782.240573569594</v>
      </c>
      <c r="Z22" s="2">
        <f t="shared" si="10"/>
        <v>41091.764275028749</v>
      </c>
      <c r="AA22" s="2">
        <f t="shared" si="10"/>
        <v>43153.529914214123</v>
      </c>
    </row>
    <row r="23" spans="2:30" x14ac:dyDescent="0.35">
      <c r="B23" t="s">
        <v>142</v>
      </c>
      <c r="I23" s="5">
        <f t="shared" ref="I23:I59" si="11">T23/$U$5</f>
        <v>0.3123261069997797</v>
      </c>
      <c r="J23" s="5">
        <f t="shared" ref="J23:J36" si="12">U23/$U$5</f>
        <v>0.2334674162253898</v>
      </c>
      <c r="K23" s="5">
        <f t="shared" si="9"/>
        <v>0.22831920603143502</v>
      </c>
      <c r="L23" s="4">
        <f t="shared" ref="L23:L59" si="13">AVERAGE(I23:K23)</f>
        <v>0.25803757641886821</v>
      </c>
      <c r="N23" s="23" t="s">
        <v>142</v>
      </c>
      <c r="O23" s="23"/>
      <c r="P23" s="23"/>
      <c r="Q23" s="23"/>
      <c r="R23" s="23"/>
      <c r="S23" s="23"/>
      <c r="T23" s="2">
        <v>76558</v>
      </c>
      <c r="U23" s="2">
        <v>57228</v>
      </c>
      <c r="V23" s="9">
        <v>64323</v>
      </c>
      <c r="W23" s="9">
        <f t="shared" si="10"/>
        <v>79933.258237041518</v>
      </c>
      <c r="X23" s="9">
        <f t="shared" si="10"/>
        <v>86638.695131869317</v>
      </c>
      <c r="Y23" s="9">
        <f t="shared" si="10"/>
        <v>92762.289970555692</v>
      </c>
      <c r="Z23" s="9">
        <f t="shared" si="10"/>
        <v>98286.383063687332</v>
      </c>
      <c r="AA23" s="9">
        <f t="shared" si="10"/>
        <v>103217.86972471802</v>
      </c>
    </row>
    <row r="24" spans="2:30" x14ac:dyDescent="0.35">
      <c r="B24" s="13" t="s">
        <v>143</v>
      </c>
      <c r="C24" s="13"/>
      <c r="D24" s="13"/>
      <c r="E24" s="13"/>
      <c r="F24" s="13"/>
      <c r="G24" s="13"/>
      <c r="H24" s="13"/>
      <c r="I24" s="5">
        <f t="shared" si="11"/>
        <v>0.45390458628764452</v>
      </c>
      <c r="J24" s="5">
        <f t="shared" si="12"/>
        <v>0.30818531180391806</v>
      </c>
      <c r="K24" s="5">
        <f t="shared" si="9"/>
        <v>0.33566540301855718</v>
      </c>
      <c r="L24" s="4">
        <f t="shared" si="13"/>
        <v>0.36591843370337324</v>
      </c>
      <c r="N24" s="16" t="s">
        <v>143</v>
      </c>
      <c r="O24" s="16"/>
      <c r="P24" s="16"/>
      <c r="Q24" s="16"/>
      <c r="R24" s="16"/>
      <c r="S24" s="16"/>
      <c r="T24" s="17">
        <f>SUM(T22:T23)</f>
        <v>111262</v>
      </c>
      <c r="U24" s="17">
        <f>SUM(U22:U23)</f>
        <v>75543</v>
      </c>
      <c r="V24" s="2">
        <f>SUM(V22:V23)</f>
        <v>94565</v>
      </c>
      <c r="W24" s="2">
        <f t="shared" ref="W24:AA24" si="14">SUM(W22:W23)</f>
        <v>113351.91199992508</v>
      </c>
      <c r="X24" s="2">
        <f t="shared" si="14"/>
        <v>122860.77113550014</v>
      </c>
      <c r="Y24" s="2">
        <f t="shared" si="14"/>
        <v>131544.5305441253</v>
      </c>
      <c r="Z24" s="2">
        <f t="shared" si="14"/>
        <v>139378.14733871608</v>
      </c>
      <c r="AA24" s="2">
        <f t="shared" si="14"/>
        <v>146371.39963893214</v>
      </c>
    </row>
    <row r="25" spans="2:30" x14ac:dyDescent="0.35">
      <c r="B25" t="s">
        <v>144</v>
      </c>
      <c r="I25" s="5">
        <f t="shared" si="11"/>
        <v>0.19862762216365729</v>
      </c>
      <c r="J25" s="5">
        <f t="shared" si="12"/>
        <v>0.23222721746722041</v>
      </c>
      <c r="K25" s="5">
        <f t="shared" si="9"/>
        <v>0.24813292442248441</v>
      </c>
      <c r="L25" s="4">
        <f t="shared" si="13"/>
        <v>0.22632925468445406</v>
      </c>
      <c r="N25" s="23" t="s">
        <v>144</v>
      </c>
      <c r="O25" s="23"/>
      <c r="P25" s="23"/>
      <c r="Q25" s="23"/>
      <c r="R25" s="23"/>
      <c r="S25" s="23"/>
      <c r="T25" s="2">
        <v>48688</v>
      </c>
      <c r="U25" s="2">
        <v>56924</v>
      </c>
      <c r="V25" s="2">
        <v>69905</v>
      </c>
      <c r="W25" s="2">
        <f t="shared" ref="W25:AA27" si="15">W$5*$L25</f>
        <v>70110.853668546304</v>
      </c>
      <c r="X25" s="2">
        <f t="shared" si="15"/>
        <v>75992.309213906337</v>
      </c>
      <c r="Y25" s="2">
        <f t="shared" si="15"/>
        <v>81363.420952995337</v>
      </c>
      <c r="Z25" s="2">
        <f t="shared" si="15"/>
        <v>86208.69926450176</v>
      </c>
      <c r="AA25" s="2">
        <f t="shared" si="15"/>
        <v>90534.192148009519</v>
      </c>
    </row>
    <row r="26" spans="2:30" x14ac:dyDescent="0.35">
      <c r="B26" t="s">
        <v>145</v>
      </c>
      <c r="I26" s="5">
        <f t="shared" si="11"/>
        <v>1.019900294547205E-2</v>
      </c>
      <c r="J26" s="5">
        <f t="shared" si="12"/>
        <v>5.08318306802327E-3</v>
      </c>
      <c r="K26" s="5">
        <f t="shared" si="9"/>
        <v>3.3294997941247461E-3</v>
      </c>
      <c r="L26" s="4">
        <f t="shared" si="13"/>
        <v>6.2038952692066883E-3</v>
      </c>
      <c r="N26" s="23" t="s">
        <v>145</v>
      </c>
      <c r="O26" s="23"/>
      <c r="P26" s="23"/>
      <c r="Q26" s="23"/>
      <c r="R26" s="23"/>
      <c r="S26" s="23"/>
      <c r="T26" s="2">
        <v>2500</v>
      </c>
      <c r="U26" s="2">
        <v>1246</v>
      </c>
      <c r="V26">
        <v>938</v>
      </c>
      <c r="W26" s="2">
        <f t="shared" si="15"/>
        <v>1921.8036749193302</v>
      </c>
      <c r="X26" s="2">
        <f t="shared" si="15"/>
        <v>2083.0198388870845</v>
      </c>
      <c r="Y26" s="2">
        <f t="shared" si="15"/>
        <v>2230.2470047034153</v>
      </c>
      <c r="Z26" s="2">
        <f t="shared" si="15"/>
        <v>2363.0605874488419</v>
      </c>
      <c r="AA26" s="2">
        <f t="shared" si="15"/>
        <v>2481.62636841425</v>
      </c>
    </row>
    <row r="27" spans="2:30" x14ac:dyDescent="0.35">
      <c r="B27" s="7" t="s">
        <v>146</v>
      </c>
      <c r="C27" s="7"/>
      <c r="D27" s="7"/>
      <c r="E27" s="7"/>
      <c r="F27" s="7"/>
      <c r="G27" s="7"/>
      <c r="H27" s="7"/>
      <c r="I27" s="10">
        <f t="shared" si="11"/>
        <v>8.9004658904545494E-2</v>
      </c>
      <c r="J27" s="10">
        <f t="shared" si="12"/>
        <v>0.1061553022576513</v>
      </c>
      <c r="K27" s="10">
        <f t="shared" si="9"/>
        <v>9.1305675057858041E-2</v>
      </c>
      <c r="L27" s="11">
        <f t="shared" si="13"/>
        <v>9.5488545406684944E-2</v>
      </c>
      <c r="N27" s="23" t="s">
        <v>146</v>
      </c>
      <c r="O27" s="23"/>
      <c r="P27" s="23"/>
      <c r="Q27" s="23"/>
      <c r="R27" s="23"/>
      <c r="S27" s="23"/>
      <c r="T27" s="2">
        <v>21817</v>
      </c>
      <c r="U27" s="2">
        <v>26021</v>
      </c>
      <c r="V27" s="9">
        <v>25723</v>
      </c>
      <c r="W27" s="9">
        <f t="shared" si="15"/>
        <v>29579.841295214916</v>
      </c>
      <c r="X27" s="9">
        <f t="shared" si="15"/>
        <v>32061.233440845863</v>
      </c>
      <c r="Y27" s="9">
        <f t="shared" si="15"/>
        <v>34327.311009551813</v>
      </c>
      <c r="Z27" s="9">
        <f t="shared" si="15"/>
        <v>36371.538914165183</v>
      </c>
      <c r="AA27" s="9">
        <f t="shared" si="15"/>
        <v>38196.468811932806</v>
      </c>
    </row>
    <row r="28" spans="2:30" x14ac:dyDescent="0.35">
      <c r="B28" s="13" t="s">
        <v>147</v>
      </c>
      <c r="C28" s="13"/>
      <c r="D28" s="13"/>
      <c r="E28" s="13"/>
      <c r="F28" s="13"/>
      <c r="G28" s="13"/>
      <c r="H28" s="13"/>
      <c r="I28" s="5">
        <f t="shared" si="11"/>
        <v>0.75173587030131939</v>
      </c>
      <c r="J28" s="5">
        <f t="shared" si="12"/>
        <v>0.65165101459681296</v>
      </c>
      <c r="K28" s="5">
        <f t="shared" si="9"/>
        <v>0.67843350229302435</v>
      </c>
      <c r="L28" s="4">
        <f t="shared" si="13"/>
        <v>0.69394012906371894</v>
      </c>
      <c r="N28" s="20" t="s">
        <v>147</v>
      </c>
      <c r="O28" s="20"/>
      <c r="P28" s="20"/>
      <c r="Q28" s="20"/>
      <c r="R28" s="20"/>
      <c r="S28" s="20"/>
      <c r="T28" s="17">
        <f>SUM(T24:T27)</f>
        <v>184267</v>
      </c>
      <c r="U28" s="17">
        <f>SUM(U24:U27)</f>
        <v>159734</v>
      </c>
      <c r="V28" s="2">
        <f>SUM(V24:V27)</f>
        <v>191131</v>
      </c>
      <c r="W28" s="2">
        <f t="shared" ref="W28:AA28" si="16">SUM(W24:W27)</f>
        <v>214964.41063860565</v>
      </c>
      <c r="X28" s="2">
        <f t="shared" si="16"/>
        <v>232997.33362913941</v>
      </c>
      <c r="Y28" s="2">
        <f t="shared" si="16"/>
        <v>249465.50951137586</v>
      </c>
      <c r="Z28" s="2">
        <f t="shared" si="16"/>
        <v>264321.44610483188</v>
      </c>
      <c r="AA28" s="2">
        <f t="shared" si="16"/>
        <v>277583.68696728873</v>
      </c>
    </row>
    <row r="29" spans="2:30" x14ac:dyDescent="0.35">
      <c r="B29" t="s">
        <v>148</v>
      </c>
      <c r="I29" s="5">
        <f t="shared" si="11"/>
        <v>0.39017713628315698</v>
      </c>
      <c r="J29" s="5">
        <f t="shared" si="12"/>
        <v>0.5531572033518003</v>
      </c>
      <c r="K29" s="5">
        <f t="shared" si="9"/>
        <v>0.72754184946969369</v>
      </c>
      <c r="L29" s="4">
        <f t="shared" si="13"/>
        <v>0.55695872970155025</v>
      </c>
      <c r="N29" t="s">
        <v>148</v>
      </c>
      <c r="T29" s="2">
        <v>95641</v>
      </c>
      <c r="U29" s="2">
        <v>135591</v>
      </c>
      <c r="V29" s="2">
        <v>204966</v>
      </c>
      <c r="W29" s="2">
        <f t="shared" ref="W29:AA35" si="17">W$5*$L29</f>
        <v>172531.17389515703</v>
      </c>
      <c r="X29" s="2">
        <f t="shared" si="17"/>
        <v>187004.45978966876</v>
      </c>
      <c r="Y29" s="2">
        <f t="shared" si="17"/>
        <v>200221.87428369338</v>
      </c>
      <c r="Z29" s="2">
        <f t="shared" si="17"/>
        <v>212145.29999014692</v>
      </c>
      <c r="AA29" s="2">
        <f t="shared" si="17"/>
        <v>222789.62003215982</v>
      </c>
    </row>
    <row r="30" spans="2:30" x14ac:dyDescent="0.35">
      <c r="B30" t="s">
        <v>201</v>
      </c>
      <c r="I30" s="5">
        <f t="shared" si="11"/>
        <v>4.487561296007702E-2</v>
      </c>
      <c r="J30" s="5">
        <f t="shared" si="12"/>
        <v>6.2009937908470071E-2</v>
      </c>
      <c r="K30" s="5">
        <f t="shared" si="9"/>
        <v>7.8090613508256301E-2</v>
      </c>
      <c r="L30" s="4">
        <f t="shared" si="13"/>
        <v>6.1658721458934466E-2</v>
      </c>
      <c r="N30" s="37" t="s">
        <v>201</v>
      </c>
      <c r="T30" s="2">
        <v>11000</v>
      </c>
      <c r="U30" s="2">
        <v>15200</v>
      </c>
      <c r="V30" s="2">
        <v>22000</v>
      </c>
      <c r="W30" s="2">
        <f t="shared" si="17"/>
        <v>19100.251108165477</v>
      </c>
      <c r="X30" s="2">
        <f t="shared" si="17"/>
        <v>20702.531952283724</v>
      </c>
      <c r="Y30" s="2">
        <f t="shared" si="17"/>
        <v>22165.780188164779</v>
      </c>
      <c r="Z30" s="2">
        <f t="shared" si="17"/>
        <v>23485.775989046597</v>
      </c>
      <c r="AA30" s="2">
        <f t="shared" si="17"/>
        <v>24664.167007249896</v>
      </c>
    </row>
    <row r="31" spans="2:30" x14ac:dyDescent="0.35">
      <c r="B31" t="s">
        <v>149</v>
      </c>
      <c r="I31" s="5">
        <f t="shared" si="11"/>
        <v>5.8525958502296818E-2</v>
      </c>
      <c r="J31" s="5">
        <f t="shared" si="12"/>
        <v>7.7353317939638219E-2</v>
      </c>
      <c r="K31" s="5">
        <f t="shared" si="9"/>
        <v>8.8111059050702101E-2</v>
      </c>
      <c r="L31" s="4">
        <f t="shared" si="13"/>
        <v>7.4663445164212375E-2</v>
      </c>
      <c r="N31" t="s">
        <v>149</v>
      </c>
      <c r="T31" s="2">
        <v>14346</v>
      </c>
      <c r="U31" s="2">
        <v>18961</v>
      </c>
      <c r="V31" s="2">
        <v>24823</v>
      </c>
      <c r="W31" s="2">
        <f t="shared" si="17"/>
        <v>23128.772661739269</v>
      </c>
      <c r="X31" s="2">
        <f t="shared" si="17"/>
        <v>25068.997906632918</v>
      </c>
      <c r="Y31" s="2">
        <f t="shared" si="17"/>
        <v>26840.866538292728</v>
      </c>
      <c r="Z31" s="2">
        <f t="shared" si="17"/>
        <v>28439.268706942454</v>
      </c>
      <c r="AA31" s="2">
        <f t="shared" si="17"/>
        <v>29866.199578809788</v>
      </c>
    </row>
    <row r="32" spans="2:30" x14ac:dyDescent="0.35">
      <c r="B32" t="s">
        <v>150</v>
      </c>
      <c r="I32" s="5">
        <f t="shared" si="11"/>
        <v>4.0302380039327353E-2</v>
      </c>
      <c r="J32" s="5">
        <f t="shared" si="12"/>
        <v>5.9562177201556779E-2</v>
      </c>
      <c r="K32" s="5">
        <f t="shared" si="9"/>
        <v>5.4681177322485834E-2</v>
      </c>
      <c r="L32" s="4">
        <f t="shared" si="13"/>
        <v>5.151524485445666E-2</v>
      </c>
      <c r="N32" t="s">
        <v>150</v>
      </c>
      <c r="T32" s="2">
        <v>9879</v>
      </c>
      <c r="U32" s="2">
        <v>14600</v>
      </c>
      <c r="V32" s="2">
        <v>15405</v>
      </c>
      <c r="W32" s="2">
        <f t="shared" si="17"/>
        <v>15958.068693884261</v>
      </c>
      <c r="X32" s="2">
        <f t="shared" si="17"/>
        <v>17296.758307572258</v>
      </c>
      <c r="Y32" s="2">
        <f t="shared" si="17"/>
        <v>18519.287568164666</v>
      </c>
      <c r="Z32" s="2">
        <f t="shared" si="17"/>
        <v>19622.130852623141</v>
      </c>
      <c r="AA32" s="2">
        <f t="shared" si="17"/>
        <v>20606.664757976105</v>
      </c>
    </row>
    <row r="33" spans="2:27" x14ac:dyDescent="0.35">
      <c r="B33" t="s">
        <v>77</v>
      </c>
      <c r="I33" s="5">
        <f t="shared" si="11"/>
        <v>0.27694780558252624</v>
      </c>
      <c r="J33" s="5">
        <f t="shared" si="12"/>
        <v>0.48637005246367115</v>
      </c>
      <c r="K33" s="5">
        <f t="shared" si="9"/>
        <v>0.42420596044355469</v>
      </c>
      <c r="L33" s="4">
        <f t="shared" si="13"/>
        <v>0.39584127282991738</v>
      </c>
      <c r="N33" t="s">
        <v>77</v>
      </c>
      <c r="T33" s="2">
        <v>67886</v>
      </c>
      <c r="U33" s="2">
        <v>119220</v>
      </c>
      <c r="V33" s="2">
        <v>119509</v>
      </c>
      <c r="W33" s="2">
        <f t="shared" si="17"/>
        <v>122621.22099081748</v>
      </c>
      <c r="X33" s="2">
        <f t="shared" si="17"/>
        <v>132907.66342360742</v>
      </c>
      <c r="Y33" s="2">
        <f t="shared" si="17"/>
        <v>142301.53391673876</v>
      </c>
      <c r="Z33" s="2">
        <f t="shared" si="17"/>
        <v>150775.74171067108</v>
      </c>
      <c r="AA33" s="2">
        <f t="shared" si="17"/>
        <v>158340.86452703702</v>
      </c>
    </row>
    <row r="34" spans="2:27" x14ac:dyDescent="0.35">
      <c r="B34" t="s">
        <v>151</v>
      </c>
      <c r="I34" s="5">
        <f t="shared" si="11"/>
        <v>3.8209544634916492E-2</v>
      </c>
      <c r="J34" s="5">
        <f t="shared" si="12"/>
        <v>0.11258475371447688</v>
      </c>
      <c r="K34" s="5">
        <f t="shared" si="9"/>
        <v>8.0234555806392077E-2</v>
      </c>
      <c r="L34" s="4">
        <f t="shared" si="13"/>
        <v>7.7009618051928477E-2</v>
      </c>
      <c r="N34" t="s">
        <v>151</v>
      </c>
      <c r="T34" s="2">
        <v>9366</v>
      </c>
      <c r="U34" s="2">
        <v>27597</v>
      </c>
      <c r="V34" s="2">
        <v>22604</v>
      </c>
      <c r="W34" s="2">
        <f t="shared" si="17"/>
        <v>23855.555349382135</v>
      </c>
      <c r="X34" s="2">
        <f t="shared" si="17"/>
        <v>25856.748901532701</v>
      </c>
      <c r="Y34" s="2">
        <f t="shared" si="17"/>
        <v>27684.295517714283</v>
      </c>
      <c r="Z34" s="2">
        <f t="shared" si="17"/>
        <v>29332.9247797362</v>
      </c>
      <c r="AA34" s="2">
        <f t="shared" si="17"/>
        <v>30804.694548561172</v>
      </c>
    </row>
    <row r="35" spans="2:27" x14ac:dyDescent="0.35">
      <c r="B35" t="s">
        <v>152</v>
      </c>
      <c r="I35" s="5">
        <f t="shared" si="11"/>
        <v>0.12483987565375609</v>
      </c>
      <c r="J35" s="5">
        <f t="shared" si="12"/>
        <v>0.14874225895676438</v>
      </c>
      <c r="K35" s="5">
        <f t="shared" si="9"/>
        <v>0.14398844258920077</v>
      </c>
      <c r="L35" s="4">
        <f t="shared" si="13"/>
        <v>0.13919019239990707</v>
      </c>
      <c r="N35" t="s">
        <v>152</v>
      </c>
      <c r="T35" s="2">
        <v>30601</v>
      </c>
      <c r="U35" s="2">
        <v>36460</v>
      </c>
      <c r="V35" s="2">
        <v>40565</v>
      </c>
      <c r="W35" s="2">
        <f t="shared" si="17"/>
        <v>43117.462764821241</v>
      </c>
      <c r="X35" s="2">
        <f t="shared" si="17"/>
        <v>46734.498176754641</v>
      </c>
      <c r="Y35" s="2">
        <f t="shared" si="17"/>
        <v>50037.67733230615</v>
      </c>
      <c r="Z35" s="2">
        <f t="shared" si="17"/>
        <v>53017.474271724954</v>
      </c>
      <c r="AA35" s="2">
        <f t="shared" si="17"/>
        <v>55677.608453314817</v>
      </c>
    </row>
    <row r="36" spans="2:27" ht="15" thickBot="1" x14ac:dyDescent="0.4">
      <c r="B36" s="19" t="s">
        <v>153</v>
      </c>
      <c r="C36" s="19"/>
      <c r="D36" s="19"/>
      <c r="E36" s="19"/>
      <c r="F36" s="19"/>
      <c r="G36" s="19"/>
      <c r="H36" s="19"/>
      <c r="I36" s="29">
        <f t="shared" si="11"/>
        <v>1.7256141839573764</v>
      </c>
      <c r="J36" s="29">
        <f t="shared" si="12"/>
        <v>2.1514307161331909</v>
      </c>
      <c r="K36" s="29">
        <f t="shared" si="9"/>
        <v>2.2752871604833098</v>
      </c>
      <c r="L36" s="28">
        <f t="shared" si="13"/>
        <v>2.0507773535246256</v>
      </c>
      <c r="N36" s="19" t="s">
        <v>153</v>
      </c>
      <c r="O36" s="19"/>
      <c r="P36" s="19"/>
      <c r="Q36" s="19"/>
      <c r="R36" s="19"/>
      <c r="S36" s="19"/>
      <c r="T36" s="25">
        <f>SUM(T28:T35)</f>
        <v>422986</v>
      </c>
      <c r="U36" s="25">
        <f>SUM(U28:U35)</f>
        <v>527363</v>
      </c>
      <c r="V36" s="25">
        <f>SUM(V28:V35)</f>
        <v>641003</v>
      </c>
      <c r="W36" s="25">
        <f t="shared" ref="W36:AA36" si="18">SUM(W28:W35)</f>
        <v>635276.91610257246</v>
      </c>
      <c r="X36" s="25">
        <f t="shared" si="18"/>
        <v>688568.9920871919</v>
      </c>
      <c r="Y36" s="25">
        <f t="shared" si="18"/>
        <v>737236.82485645055</v>
      </c>
      <c r="Z36" s="25">
        <f t="shared" si="18"/>
        <v>781140.06240572326</v>
      </c>
      <c r="AA36" s="25">
        <f t="shared" si="18"/>
        <v>820333.50587239733</v>
      </c>
    </row>
    <row r="37" spans="2:27" ht="15" thickTop="1" x14ac:dyDescent="0.35">
      <c r="B37" s="13" t="s">
        <v>154</v>
      </c>
      <c r="C37" s="13"/>
      <c r="D37" s="13"/>
      <c r="E37" s="13"/>
      <c r="F37" s="13"/>
      <c r="G37" s="13"/>
      <c r="H37" s="13"/>
      <c r="I37" s="5"/>
      <c r="L37" s="4"/>
      <c r="N37" s="13" t="s">
        <v>154</v>
      </c>
      <c r="O37" s="13"/>
      <c r="P37" s="13"/>
      <c r="Q37" s="13"/>
      <c r="R37" s="13"/>
      <c r="S37" s="13"/>
      <c r="W37" s="2"/>
      <c r="X37" s="2"/>
      <c r="Y37" s="2"/>
      <c r="Z37" s="2"/>
      <c r="AA37" s="2"/>
    </row>
    <row r="38" spans="2:27" x14ac:dyDescent="0.35">
      <c r="B38" t="s">
        <v>155</v>
      </c>
      <c r="I38" s="5">
        <f t="shared" si="11"/>
        <v>7.3820383319326707E-2</v>
      </c>
      <c r="J38" s="5">
        <f t="shared" ref="J38:J52" si="19">U38/$U$5</f>
        <v>8.973490751544129E-2</v>
      </c>
      <c r="K38" s="5">
        <f t="shared" ref="K38:K52" si="20">V38/$V$5</f>
        <v>9.8408371313768089E-2</v>
      </c>
      <c r="L38" s="4">
        <f t="shared" si="13"/>
        <v>8.7321220716178691E-2</v>
      </c>
      <c r="N38" s="23" t="s">
        <v>155</v>
      </c>
      <c r="O38" s="23"/>
      <c r="P38" s="23"/>
      <c r="Q38" s="23"/>
      <c r="R38" s="23"/>
      <c r="S38" s="23"/>
      <c r="T38" s="2">
        <v>18095</v>
      </c>
      <c r="U38" s="2">
        <v>21996</v>
      </c>
      <c r="V38" s="2">
        <v>27724</v>
      </c>
      <c r="W38" s="2">
        <f t="shared" ref="W38:AA44" si="21">W$5*$L38</f>
        <v>27049.818797513821</v>
      </c>
      <c r="X38" s="2">
        <f t="shared" si="21"/>
        <v>29318.972551078728</v>
      </c>
      <c r="Y38" s="2">
        <f t="shared" si="21"/>
        <v>31391.228010560273</v>
      </c>
      <c r="Z38" s="2">
        <f t="shared" si="21"/>
        <v>33260.609047758677</v>
      </c>
      <c r="AA38" s="2">
        <f t="shared" si="21"/>
        <v>34929.449071615229</v>
      </c>
    </row>
    <row r="39" spans="2:27" x14ac:dyDescent="0.35">
      <c r="B39" t="s">
        <v>156</v>
      </c>
      <c r="I39" s="5">
        <f t="shared" si="11"/>
        <v>0</v>
      </c>
      <c r="J39" s="5">
        <f t="shared" si="19"/>
        <v>2.7304770685617773E-2</v>
      </c>
      <c r="K39" s="5">
        <f t="shared" si="20"/>
        <v>0</v>
      </c>
      <c r="L39" s="4">
        <f t="shared" si="13"/>
        <v>9.1015902285392584E-3</v>
      </c>
      <c r="N39" s="23" t="s">
        <v>156</v>
      </c>
      <c r="O39" s="23"/>
      <c r="P39" s="23"/>
      <c r="Q39" s="23"/>
      <c r="R39" s="23"/>
      <c r="S39" s="23"/>
      <c r="T39" s="2">
        <v>0</v>
      </c>
      <c r="U39" s="2">
        <v>6693</v>
      </c>
      <c r="V39">
        <v>0</v>
      </c>
      <c r="W39" s="2">
        <f t="shared" si="21"/>
        <v>2819.4334026939987</v>
      </c>
      <c r="X39" s="2">
        <f t="shared" si="21"/>
        <v>3055.9498812900542</v>
      </c>
      <c r="Y39" s="2">
        <f t="shared" si="21"/>
        <v>3271.9434265745153</v>
      </c>
      <c r="Z39" s="2">
        <f t="shared" si="21"/>
        <v>3466.7911399027962</v>
      </c>
      <c r="AA39" s="2">
        <f t="shared" si="21"/>
        <v>3640.7362351448496</v>
      </c>
    </row>
    <row r="40" spans="2:27" x14ac:dyDescent="0.35">
      <c r="B40" t="s">
        <v>157</v>
      </c>
      <c r="I40" s="5">
        <f t="shared" si="11"/>
        <v>2.140566738195674E-2</v>
      </c>
      <c r="J40" s="5">
        <f t="shared" si="19"/>
        <v>9.1750230497466573E-3</v>
      </c>
      <c r="K40" s="5">
        <f t="shared" si="20"/>
        <v>1.0645170450511849E-2</v>
      </c>
      <c r="L40" s="4">
        <f t="shared" si="13"/>
        <v>1.3741953627405082E-2</v>
      </c>
      <c r="N40" s="23" t="s">
        <v>157</v>
      </c>
      <c r="O40" s="23"/>
      <c r="P40" s="23"/>
      <c r="Q40" s="23"/>
      <c r="R40" s="23"/>
      <c r="S40" s="23"/>
      <c r="T40" s="2">
        <v>5247</v>
      </c>
      <c r="U40" s="2">
        <v>2249</v>
      </c>
      <c r="V40" s="2">
        <v>2999</v>
      </c>
      <c r="W40" s="2">
        <f t="shared" si="21"/>
        <v>4256.8960041608107</v>
      </c>
      <c r="X40" s="2">
        <f t="shared" si="21"/>
        <v>4613.9982686412204</v>
      </c>
      <c r="Y40" s="2">
        <f t="shared" si="21"/>
        <v>4940.1141680156816</v>
      </c>
      <c r="Z40" s="2">
        <f t="shared" si="21"/>
        <v>5234.3032244035667</v>
      </c>
      <c r="AA40" s="2">
        <f t="shared" si="21"/>
        <v>5496.9326520650766</v>
      </c>
    </row>
    <row r="41" spans="2:27" x14ac:dyDescent="0.35">
      <c r="B41" t="s">
        <v>158</v>
      </c>
      <c r="I41" s="5">
        <f t="shared" si="11"/>
        <v>4.4912329370680723E-2</v>
      </c>
      <c r="J41" s="5">
        <f t="shared" si="19"/>
        <v>5.1256109202764341E-2</v>
      </c>
      <c r="K41" s="5">
        <f t="shared" si="20"/>
        <v>4.8661100935667535E-2</v>
      </c>
      <c r="L41" s="4">
        <f t="shared" si="13"/>
        <v>4.8276513169704195E-2</v>
      </c>
      <c r="N41" s="23" t="s">
        <v>158</v>
      </c>
      <c r="O41" s="23"/>
      <c r="P41" s="23"/>
      <c r="Q41" s="23"/>
      <c r="R41" s="23"/>
      <c r="S41" s="23"/>
      <c r="T41" s="2">
        <v>11009</v>
      </c>
      <c r="U41" s="2">
        <v>12564</v>
      </c>
      <c r="V41" s="2">
        <v>13709</v>
      </c>
      <c r="W41" s="2">
        <f t="shared" si="21"/>
        <v>14954.794753279704</v>
      </c>
      <c r="X41" s="2">
        <f t="shared" si="21"/>
        <v>16209.321776259851</v>
      </c>
      <c r="Y41" s="2">
        <f t="shared" si="21"/>
        <v>17354.991375930447</v>
      </c>
      <c r="Z41" s="2">
        <f t="shared" si="21"/>
        <v>18388.499583000015</v>
      </c>
      <c r="AA41" s="2">
        <f t="shared" si="21"/>
        <v>19311.136448690482</v>
      </c>
    </row>
    <row r="42" spans="2:27" x14ac:dyDescent="0.35">
      <c r="B42" t="s">
        <v>159</v>
      </c>
      <c r="I42" s="5">
        <f t="shared" si="11"/>
        <v>1.693850409183998E-2</v>
      </c>
      <c r="J42" s="5">
        <f t="shared" si="19"/>
        <v>2.0467359110973311E-2</v>
      </c>
      <c r="K42" s="5">
        <f t="shared" si="20"/>
        <v>2.5595973364001646E-2</v>
      </c>
      <c r="L42" s="4">
        <f t="shared" si="13"/>
        <v>2.1000612188938311E-2</v>
      </c>
      <c r="N42" s="23" t="s">
        <v>159</v>
      </c>
      <c r="O42" s="23"/>
      <c r="P42" s="23"/>
      <c r="Q42" s="23"/>
      <c r="R42" s="23"/>
      <c r="S42" s="23"/>
      <c r="T42" s="2">
        <v>4152</v>
      </c>
      <c r="U42" s="2">
        <v>5017</v>
      </c>
      <c r="V42" s="2">
        <v>7211</v>
      </c>
      <c r="W42" s="2">
        <f t="shared" si="21"/>
        <v>6505.4376208736621</v>
      </c>
      <c r="X42" s="2">
        <f t="shared" si="21"/>
        <v>7051.1654243199682</v>
      </c>
      <c r="Y42" s="2">
        <f t="shared" si="21"/>
        <v>7549.539506863217</v>
      </c>
      <c r="Z42" s="2">
        <f t="shared" si="21"/>
        <v>7999.1226193480979</v>
      </c>
      <c r="AA42" s="2">
        <f t="shared" si="21"/>
        <v>8400.4759428466641</v>
      </c>
    </row>
    <row r="43" spans="2:27" x14ac:dyDescent="0.35">
      <c r="B43" t="s">
        <v>160</v>
      </c>
      <c r="I43" s="5">
        <f t="shared" si="11"/>
        <v>0.20765577957098913</v>
      </c>
      <c r="J43" s="5">
        <f t="shared" si="19"/>
        <v>0.23491159504246864</v>
      </c>
      <c r="K43" s="5">
        <f t="shared" si="20"/>
        <v>0.22914270704661299</v>
      </c>
      <c r="L43" s="4">
        <f t="shared" si="13"/>
        <v>0.22390336055335691</v>
      </c>
      <c r="N43" s="23" t="s">
        <v>160</v>
      </c>
      <c r="O43" s="23"/>
      <c r="P43" s="23"/>
      <c r="Q43" s="23"/>
      <c r="R43" s="23"/>
      <c r="S43" s="23"/>
      <c r="T43" s="2">
        <v>50901</v>
      </c>
      <c r="U43" s="2">
        <v>57582</v>
      </c>
      <c r="V43" s="2">
        <v>64555</v>
      </c>
      <c r="W43" s="2">
        <f t="shared" si="21"/>
        <v>69359.375435306589</v>
      </c>
      <c r="X43" s="2">
        <f t="shared" si="21"/>
        <v>75177.791014800561</v>
      </c>
      <c r="Y43" s="2">
        <f t="shared" si="21"/>
        <v>80491.332872066341</v>
      </c>
      <c r="Z43" s="2">
        <f t="shared" si="21"/>
        <v>85284.677410204386</v>
      </c>
      <c r="AA43" s="2">
        <f t="shared" si="21"/>
        <v>89563.807803742238</v>
      </c>
    </row>
    <row r="44" spans="2:27" x14ac:dyDescent="0.35">
      <c r="B44" s="7" t="s">
        <v>161</v>
      </c>
      <c r="C44" s="7"/>
      <c r="D44" s="7"/>
      <c r="E44" s="7"/>
      <c r="F44" s="7"/>
      <c r="G44" s="7"/>
      <c r="H44" s="7"/>
      <c r="I44" s="10">
        <f t="shared" si="11"/>
        <v>6.0153719372394152E-2</v>
      </c>
      <c r="J44" s="10">
        <f t="shared" si="19"/>
        <v>7.8267148603552522E-2</v>
      </c>
      <c r="K44" s="10">
        <f t="shared" si="20"/>
        <v>8.8810324998935125E-2</v>
      </c>
      <c r="L44" s="11">
        <f t="shared" si="13"/>
        <v>7.5743730991627262E-2</v>
      </c>
      <c r="N44" s="23" t="s">
        <v>161</v>
      </c>
      <c r="O44" s="23"/>
      <c r="P44" s="23"/>
      <c r="Q44" s="23"/>
      <c r="R44" s="23"/>
      <c r="S44" s="23"/>
      <c r="T44" s="2">
        <v>14745</v>
      </c>
      <c r="U44" s="2">
        <v>19185</v>
      </c>
      <c r="V44" s="9">
        <v>25020</v>
      </c>
      <c r="W44" s="9">
        <f t="shared" si="21"/>
        <v>23463.416814001801</v>
      </c>
      <c r="X44" s="9">
        <f t="shared" si="21"/>
        <v>25431.714669654852</v>
      </c>
      <c r="Y44" s="9">
        <f t="shared" si="21"/>
        <v>27229.220004344017</v>
      </c>
      <c r="Z44" s="9">
        <f t="shared" si="21"/>
        <v>28850.749035215325</v>
      </c>
      <c r="AA44" s="9">
        <f t="shared" si="21"/>
        <v>30298.325796033925</v>
      </c>
    </row>
    <row r="45" spans="2:27" x14ac:dyDescent="0.35">
      <c r="B45" s="13" t="s">
        <v>162</v>
      </c>
      <c r="C45" s="13"/>
      <c r="D45" s="13"/>
      <c r="E45" s="13"/>
      <c r="F45" s="13"/>
      <c r="G45" s="13"/>
      <c r="H45" s="13"/>
      <c r="I45" s="5">
        <f t="shared" si="11"/>
        <v>0.42488638310718746</v>
      </c>
      <c r="J45" s="5">
        <f t="shared" si="19"/>
        <v>0.51111691321056452</v>
      </c>
      <c r="K45" s="5">
        <f t="shared" si="20"/>
        <v>0.5012636481094972</v>
      </c>
      <c r="L45" s="4">
        <f t="shared" si="13"/>
        <v>0.47908898147574974</v>
      </c>
      <c r="N45" s="20" t="s">
        <v>162</v>
      </c>
      <c r="O45" s="20"/>
      <c r="P45" s="20"/>
      <c r="Q45" s="20"/>
      <c r="R45" s="20"/>
      <c r="S45" s="20"/>
      <c r="T45" s="26">
        <f>SUM(T38:T44)</f>
        <v>104149</v>
      </c>
      <c r="U45" s="26">
        <f>SUM(U38:U44)</f>
        <v>125286</v>
      </c>
      <c r="V45" s="31">
        <f>SUM(V38:V44)</f>
        <v>141218</v>
      </c>
      <c r="W45" s="31">
        <f t="shared" ref="W45:AA45" si="22">SUM(W38:W44)</f>
        <v>148409.17282783039</v>
      </c>
      <c r="X45" s="31">
        <f t="shared" si="22"/>
        <v>160858.91358604521</v>
      </c>
      <c r="Y45" s="31">
        <f t="shared" si="22"/>
        <v>172228.36936435447</v>
      </c>
      <c r="Z45" s="31">
        <f t="shared" si="22"/>
        <v>182484.75205983286</v>
      </c>
      <c r="AA45" s="31">
        <f t="shared" si="22"/>
        <v>191640.86395013848</v>
      </c>
    </row>
    <row r="46" spans="2:27" x14ac:dyDescent="0.35">
      <c r="B46" t="s">
        <v>163</v>
      </c>
      <c r="I46" s="5">
        <f t="shared" si="11"/>
        <v>0.17130245347214856</v>
      </c>
      <c r="J46" s="5">
        <f t="shared" si="19"/>
        <v>0.17415001509452435</v>
      </c>
      <c r="K46" s="5">
        <f t="shared" si="20"/>
        <v>0.14252246879925032</v>
      </c>
      <c r="L46" s="4">
        <f t="shared" si="13"/>
        <v>0.16265831245530774</v>
      </c>
      <c r="N46" t="s">
        <v>163</v>
      </c>
      <c r="T46" s="2">
        <v>41990</v>
      </c>
      <c r="U46" s="2">
        <v>42688</v>
      </c>
      <c r="V46" s="2">
        <v>40152</v>
      </c>
      <c r="W46" s="2">
        <f t="shared" ref="W46:AA51" si="23">W$5*$L46</f>
        <v>50387.269460266027</v>
      </c>
      <c r="X46" s="2">
        <f t="shared" si="23"/>
        <v>54614.154027720426</v>
      </c>
      <c r="Y46" s="2">
        <f t="shared" si="23"/>
        <v>58474.264700143889</v>
      </c>
      <c r="Z46" s="2">
        <f t="shared" si="23"/>
        <v>61956.46939623911</v>
      </c>
      <c r="AA46" s="2">
        <f t="shared" si="23"/>
        <v>65065.114692445895</v>
      </c>
    </row>
    <row r="47" spans="2:27" x14ac:dyDescent="0.35">
      <c r="B47" t="s">
        <v>164</v>
      </c>
      <c r="I47" s="5">
        <f t="shared" si="11"/>
        <v>0.10427460611450624</v>
      </c>
      <c r="J47" s="5">
        <f t="shared" si="19"/>
        <v>0.11394734050799193</v>
      </c>
      <c r="K47" s="5">
        <f t="shared" si="20"/>
        <v>9.2239212846615834E-2</v>
      </c>
      <c r="L47" s="4">
        <f t="shared" si="13"/>
        <v>0.10348705315637134</v>
      </c>
      <c r="N47" t="s">
        <v>164</v>
      </c>
      <c r="T47" s="2">
        <v>25560</v>
      </c>
      <c r="U47" s="2">
        <v>27931</v>
      </c>
      <c r="V47" s="2">
        <v>25986</v>
      </c>
      <c r="W47" s="2">
        <f t="shared" si="23"/>
        <v>32057.56874227797</v>
      </c>
      <c r="X47" s="2">
        <f t="shared" si="23"/>
        <v>34746.812355562026</v>
      </c>
      <c r="Y47" s="2">
        <f t="shared" si="23"/>
        <v>37202.705769901506</v>
      </c>
      <c r="Z47" s="2">
        <f t="shared" si="23"/>
        <v>39418.166492729222</v>
      </c>
      <c r="AA47" s="2">
        <f t="shared" si="23"/>
        <v>41395.959918449451</v>
      </c>
    </row>
    <row r="48" spans="2:27" x14ac:dyDescent="0.35">
      <c r="B48" t="s">
        <v>165</v>
      </c>
      <c r="I48" s="5">
        <f t="shared" si="11"/>
        <v>1.1879798630885844E-2</v>
      </c>
      <c r="J48" s="5">
        <f t="shared" si="19"/>
        <v>1.0615122265647311E-2</v>
      </c>
      <c r="K48" s="5">
        <f t="shared" si="20"/>
        <v>9.6193437548806639E-3</v>
      </c>
      <c r="L48" s="4">
        <f t="shared" si="13"/>
        <v>1.0704754883804605E-2</v>
      </c>
      <c r="N48" t="s">
        <v>165</v>
      </c>
      <c r="T48" s="2">
        <v>2912</v>
      </c>
      <c r="U48" s="2">
        <v>2602</v>
      </c>
      <c r="V48" s="2">
        <v>2710</v>
      </c>
      <c r="W48" s="2">
        <f t="shared" si="23"/>
        <v>3316.0516711038867</v>
      </c>
      <c r="X48" s="2">
        <f t="shared" si="23"/>
        <v>3594.2284364577517</v>
      </c>
      <c r="Y48" s="2">
        <f t="shared" si="23"/>
        <v>3848.2673352321685</v>
      </c>
      <c r="Z48" s="2">
        <f t="shared" si="23"/>
        <v>4077.4357506931042</v>
      </c>
      <c r="AA48" s="2">
        <f t="shared" si="23"/>
        <v>4282.0197366835473</v>
      </c>
    </row>
    <row r="49" spans="2:27" x14ac:dyDescent="0.35">
      <c r="B49" t="s">
        <v>166</v>
      </c>
      <c r="I49" s="5">
        <f t="shared" si="11"/>
        <v>1.7664673101557592E-3</v>
      </c>
      <c r="J49" s="5">
        <f t="shared" si="19"/>
        <v>1.0680395884498331E-2</v>
      </c>
      <c r="K49" s="5">
        <f t="shared" si="20"/>
        <v>1.0063040422541211E-2</v>
      </c>
      <c r="L49" s="4">
        <f t="shared" si="13"/>
        <v>7.5033012057317662E-3</v>
      </c>
      <c r="N49" t="s">
        <v>166</v>
      </c>
      <c r="T49" s="2">
        <v>433</v>
      </c>
      <c r="U49" s="2">
        <v>2618</v>
      </c>
      <c r="V49" s="2">
        <v>2835</v>
      </c>
      <c r="W49" s="2">
        <f t="shared" si="23"/>
        <v>2324.3254770556214</v>
      </c>
      <c r="X49" s="2">
        <f t="shared" si="23"/>
        <v>2519.3083684475619</v>
      </c>
      <c r="Y49" s="2">
        <f t="shared" si="23"/>
        <v>2697.3722658620341</v>
      </c>
      <c r="Z49" s="2">
        <f t="shared" si="23"/>
        <v>2858.0036550632167</v>
      </c>
      <c r="AA49" s="2">
        <f t="shared" si="23"/>
        <v>3001.403040235306</v>
      </c>
    </row>
    <row r="50" spans="2:27" x14ac:dyDescent="0.35">
      <c r="B50" t="s">
        <v>167</v>
      </c>
      <c r="I50" s="5">
        <f t="shared" si="11"/>
        <v>5.1925163795987307E-2</v>
      </c>
      <c r="J50" s="5">
        <f t="shared" si="19"/>
        <v>6.3221579458392144E-2</v>
      </c>
      <c r="K50" s="5">
        <f t="shared" si="20"/>
        <v>6.1893910351975695E-2</v>
      </c>
      <c r="L50" s="4">
        <f t="shared" si="13"/>
        <v>5.9013551202118382E-2</v>
      </c>
      <c r="N50" t="s">
        <v>167</v>
      </c>
      <c r="T50" s="2">
        <v>12728</v>
      </c>
      <c r="U50" s="2">
        <v>15497</v>
      </c>
      <c r="V50" s="2">
        <v>17437</v>
      </c>
      <c r="W50" s="2">
        <f t="shared" si="23"/>
        <v>18280.846895207753</v>
      </c>
      <c r="X50" s="2">
        <f t="shared" si="23"/>
        <v>19814.389602503772</v>
      </c>
      <c r="Y50" s="2">
        <f t="shared" si="23"/>
        <v>21214.864225499114</v>
      </c>
      <c r="Z50" s="2">
        <f t="shared" si="23"/>
        <v>22478.231968759916</v>
      </c>
      <c r="AA50" s="2">
        <f t="shared" si="23"/>
        <v>23606.069800025558</v>
      </c>
    </row>
    <row r="51" spans="2:27" x14ac:dyDescent="0.35">
      <c r="B51" t="s">
        <v>168</v>
      </c>
      <c r="I51" s="5">
        <f t="shared" si="11"/>
        <v>7.3355308785013174E-2</v>
      </c>
      <c r="J51" s="5">
        <f t="shared" si="19"/>
        <v>0.11041032628650223</v>
      </c>
      <c r="K51" s="5">
        <f t="shared" si="20"/>
        <v>0.16039102099927588</v>
      </c>
      <c r="L51" s="4">
        <f t="shared" si="13"/>
        <v>0.11471888535693042</v>
      </c>
      <c r="N51" t="s">
        <v>168</v>
      </c>
      <c r="T51" s="2">
        <v>17981</v>
      </c>
      <c r="U51" s="2">
        <v>27064</v>
      </c>
      <c r="V51" s="2">
        <v>45186</v>
      </c>
      <c r="W51" s="2">
        <f t="shared" si="23"/>
        <v>35536.895111027567</v>
      </c>
      <c r="X51" s="2">
        <f t="shared" si="23"/>
        <v>38518.012268775114</v>
      </c>
      <c r="Y51" s="2">
        <f t="shared" si="23"/>
        <v>41240.452868400069</v>
      </c>
      <c r="Z51" s="2">
        <f t="shared" si="23"/>
        <v>43696.36572825144</v>
      </c>
      <c r="AA51" s="2">
        <f t="shared" si="23"/>
        <v>45888.816381204648</v>
      </c>
    </row>
    <row r="52" spans="2:27" ht="15" thickBot="1" x14ac:dyDescent="0.4">
      <c r="B52" s="19" t="s">
        <v>169</v>
      </c>
      <c r="C52" s="19"/>
      <c r="D52" s="19"/>
      <c r="E52" s="19"/>
      <c r="F52" s="19"/>
      <c r="G52" s="19"/>
      <c r="H52" s="19"/>
      <c r="I52" s="29">
        <f t="shared" si="11"/>
        <v>0.83939018121588438</v>
      </c>
      <c r="J52" s="29">
        <f t="shared" si="19"/>
        <v>0.99414169270812081</v>
      </c>
      <c r="K52" s="29">
        <f t="shared" si="20"/>
        <v>0.97799264528403684</v>
      </c>
      <c r="L52" s="28">
        <f t="shared" si="13"/>
        <v>0.93717483973601412</v>
      </c>
      <c r="N52" s="19" t="s">
        <v>169</v>
      </c>
      <c r="O52" s="19"/>
      <c r="P52" s="19"/>
      <c r="Q52" s="19"/>
      <c r="R52" s="19"/>
      <c r="S52" s="19"/>
      <c r="T52" s="25">
        <f>SUM(T45:T51)</f>
        <v>205753</v>
      </c>
      <c r="U52" s="25">
        <f>SUM(U45:U51)</f>
        <v>243686</v>
      </c>
      <c r="V52" s="25">
        <f>SUM(V45:V51)</f>
        <v>275524</v>
      </c>
      <c r="W52" s="25">
        <f t="shared" ref="W52:AA52" si="24">SUM(W45:W51)</f>
        <v>290312.13018476922</v>
      </c>
      <c r="X52" s="25">
        <f t="shared" si="24"/>
        <v>314665.81864551187</v>
      </c>
      <c r="Y52" s="25">
        <f t="shared" si="24"/>
        <v>336906.29652939324</v>
      </c>
      <c r="Z52" s="25">
        <f t="shared" si="24"/>
        <v>356969.42505156889</v>
      </c>
      <c r="AA52" s="25">
        <f t="shared" si="24"/>
        <v>374880.2475191828</v>
      </c>
    </row>
    <row r="53" spans="2:27" ht="15" thickTop="1" x14ac:dyDescent="0.35">
      <c r="B53" t="s">
        <v>170</v>
      </c>
      <c r="I53" s="5"/>
      <c r="L53" s="4"/>
      <c r="N53" t="s">
        <v>170</v>
      </c>
      <c r="W53" s="2"/>
      <c r="X53" s="2"/>
      <c r="Y53" s="2"/>
      <c r="Z53" s="2"/>
      <c r="AA53" s="2"/>
    </row>
    <row r="54" spans="2:27" x14ac:dyDescent="0.35">
      <c r="B54" t="s">
        <v>171</v>
      </c>
      <c r="I54" s="5"/>
      <c r="L54" s="4"/>
      <c r="N54" s="13" t="s">
        <v>171</v>
      </c>
      <c r="O54" s="13"/>
      <c r="P54" s="13"/>
      <c r="Q54" s="13"/>
      <c r="R54" s="13"/>
      <c r="S54" s="13"/>
      <c r="W54" s="2"/>
      <c r="X54" s="2"/>
      <c r="Y54" s="2"/>
      <c r="Z54" s="2"/>
      <c r="AA54" s="2"/>
    </row>
    <row r="55" spans="2:27" x14ac:dyDescent="0.35">
      <c r="B55" t="s">
        <v>172</v>
      </c>
      <c r="I55" s="5">
        <f t="shared" si="11"/>
        <v>0.38233206321749985</v>
      </c>
      <c r="J55" s="5">
        <f>U55/$U$5</f>
        <v>0.41172558970635031</v>
      </c>
      <c r="K55" s="5">
        <f>V55/$V$5</f>
        <v>0.38724070366741919</v>
      </c>
      <c r="L55" s="4">
        <f t="shared" si="13"/>
        <v>0.39376611886375645</v>
      </c>
      <c r="N55" t="s">
        <v>172</v>
      </c>
      <c r="T55" s="2">
        <v>93718</v>
      </c>
      <c r="U55" s="2">
        <v>100923</v>
      </c>
      <c r="V55" s="2">
        <v>109095</v>
      </c>
      <c r="W55" s="2">
        <f t="shared" ref="W55:AA57" si="25">W$5*$L55</f>
        <v>121978.39284089911</v>
      </c>
      <c r="X55" s="2">
        <f t="shared" si="25"/>
        <v>132210.90974020568</v>
      </c>
      <c r="Y55" s="2">
        <f t="shared" si="25"/>
        <v>141555.53390924339</v>
      </c>
      <c r="Z55" s="2">
        <f t="shared" si="25"/>
        <v>149985.31660877378</v>
      </c>
      <c r="AA55" s="2">
        <f t="shared" si="25"/>
        <v>157510.7801078971</v>
      </c>
    </row>
    <row r="56" spans="2:27" x14ac:dyDescent="0.35">
      <c r="B56" t="s">
        <v>173</v>
      </c>
      <c r="I56" s="5">
        <f t="shared" si="11"/>
        <v>0.48485244082538492</v>
      </c>
      <c r="J56" s="5">
        <f>U56/$U$5</f>
        <v>0.70635846639632505</v>
      </c>
      <c r="K56" s="5">
        <f>V56/$V$5</f>
        <v>0.8438436199968764</v>
      </c>
      <c r="L56" s="4">
        <f t="shared" si="13"/>
        <v>0.67835150907286224</v>
      </c>
      <c r="N56" t="s">
        <v>173</v>
      </c>
      <c r="T56" s="2">
        <v>118848</v>
      </c>
      <c r="U56" s="2">
        <v>173144</v>
      </c>
      <c r="V56" s="2">
        <v>237731</v>
      </c>
      <c r="W56" s="2">
        <f t="shared" si="25"/>
        <v>210135.46593767739</v>
      </c>
      <c r="X56" s="2">
        <f t="shared" si="25"/>
        <v>227763.2986732304</v>
      </c>
      <c r="Y56" s="2">
        <f t="shared" si="25"/>
        <v>243861.53466437402</v>
      </c>
      <c r="Z56" s="2">
        <f t="shared" si="25"/>
        <v>258383.74859147245</v>
      </c>
      <c r="AA56" s="2">
        <f t="shared" si="25"/>
        <v>271348.06745118968</v>
      </c>
    </row>
    <row r="57" spans="2:27" x14ac:dyDescent="0.35">
      <c r="B57" t="s">
        <v>174</v>
      </c>
      <c r="I57" s="5">
        <f t="shared" si="11"/>
        <v>-2.5876910273251688E-2</v>
      </c>
      <c r="J57" s="5">
        <f>U57/$U$5</f>
        <v>-2.2804970586075505E-2</v>
      </c>
      <c r="K57" s="5">
        <f>V57/$V$5</f>
        <v>-1.1880421973278812E-2</v>
      </c>
      <c r="L57" s="4">
        <f t="shared" si="13"/>
        <v>-2.0187434277535336E-2</v>
      </c>
      <c r="N57" t="s">
        <v>174</v>
      </c>
      <c r="T57" s="2">
        <v>-6343</v>
      </c>
      <c r="U57" s="9">
        <v>-5590</v>
      </c>
      <c r="V57" s="9">
        <v>-3347</v>
      </c>
      <c r="W57" s="9">
        <f t="shared" si="25"/>
        <v>-6253.5364796254635</v>
      </c>
      <c r="X57" s="9">
        <f t="shared" si="25"/>
        <v>-6778.1328135980011</v>
      </c>
      <c r="Y57" s="9">
        <f t="shared" si="25"/>
        <v>-7257.2090398743094</v>
      </c>
      <c r="Z57" s="9">
        <f t="shared" si="25"/>
        <v>-7689.383561927476</v>
      </c>
      <c r="AA57" s="9">
        <f t="shared" si="25"/>
        <v>-8075.1958309843467</v>
      </c>
    </row>
    <row r="58" spans="2:27" x14ac:dyDescent="0.35">
      <c r="B58" s="16" t="s">
        <v>175</v>
      </c>
      <c r="C58" s="16"/>
      <c r="D58" s="16"/>
      <c r="E58" s="16"/>
      <c r="F58" s="16"/>
      <c r="G58" s="16"/>
      <c r="H58" s="16"/>
      <c r="I58" s="35">
        <f t="shared" si="11"/>
        <v>0.84130759376963304</v>
      </c>
      <c r="J58" s="35">
        <f>U58/$U$5</f>
        <v>1.0952790855165999</v>
      </c>
      <c r="K58" s="35">
        <f>V58/$V$5</f>
        <v>1.2192039016910168</v>
      </c>
      <c r="L58" s="36">
        <f t="shared" si="13"/>
        <v>1.0519301936590832</v>
      </c>
      <c r="N58" s="16" t="s">
        <v>175</v>
      </c>
      <c r="O58" s="16"/>
      <c r="P58" s="16"/>
      <c r="Q58" s="16"/>
      <c r="R58" s="16"/>
      <c r="S58" s="16"/>
      <c r="T58" s="17">
        <f>SUM(T55:T57)</f>
        <v>206223</v>
      </c>
      <c r="U58" s="2">
        <f>SUM(U55:U57)</f>
        <v>268477</v>
      </c>
      <c r="V58" s="2">
        <f>SUM(V55:V57)</f>
        <v>343479</v>
      </c>
      <c r="W58" s="2">
        <f t="shared" ref="W58:AA58" si="26">SUM(W55:W57)</f>
        <v>325860.32229895104</v>
      </c>
      <c r="X58" s="2">
        <f t="shared" si="26"/>
        <v>353196.07559983805</v>
      </c>
      <c r="Y58" s="2">
        <f t="shared" si="26"/>
        <v>378159.85953374306</v>
      </c>
      <c r="Z58" s="2">
        <f t="shared" si="26"/>
        <v>400679.68163831875</v>
      </c>
      <c r="AA58" s="2">
        <f t="shared" si="26"/>
        <v>420783.65172810241</v>
      </c>
    </row>
    <row r="59" spans="2:27" ht="15" thickBot="1" x14ac:dyDescent="0.4">
      <c r="B59" s="27" t="s">
        <v>176</v>
      </c>
      <c r="C59" s="27"/>
      <c r="D59" s="27"/>
      <c r="E59" s="27"/>
      <c r="F59" s="27"/>
      <c r="G59" s="27"/>
      <c r="H59" s="27"/>
      <c r="I59" s="29">
        <f t="shared" si="11"/>
        <v>1.6806977749855174</v>
      </c>
      <c r="J59" s="29">
        <f>U59/$U$5</f>
        <v>2.0894207782247207</v>
      </c>
      <c r="K59" s="29">
        <f>V59/$V$5</f>
        <v>2.1971965469750536</v>
      </c>
      <c r="L59" s="28">
        <f t="shared" si="13"/>
        <v>1.9891050333950975</v>
      </c>
      <c r="N59" s="27" t="s">
        <v>176</v>
      </c>
      <c r="O59" s="27"/>
      <c r="P59" s="27"/>
      <c r="Q59" s="27"/>
      <c r="R59" s="27"/>
      <c r="S59" s="27"/>
      <c r="T59" s="25">
        <f>T58+T52</f>
        <v>411976</v>
      </c>
      <c r="U59" s="25">
        <f>U52+U58</f>
        <v>512163</v>
      </c>
      <c r="V59" s="25">
        <f>V52+V58</f>
        <v>619003</v>
      </c>
      <c r="W59" s="25">
        <f t="shared" ref="W59:AA59" si="27">W52+W58</f>
        <v>616172.45248372026</v>
      </c>
      <c r="X59" s="25">
        <f t="shared" si="27"/>
        <v>667861.89424534992</v>
      </c>
      <c r="Y59" s="25">
        <f t="shared" si="27"/>
        <v>715066.1560631363</v>
      </c>
      <c r="Z59" s="25">
        <f t="shared" si="27"/>
        <v>757649.10668988759</v>
      </c>
      <c r="AA59" s="25">
        <f t="shared" si="27"/>
        <v>795663.89924728521</v>
      </c>
    </row>
    <row r="60" spans="2:27" ht="15" thickTop="1" x14ac:dyDescent="0.35"/>
    <row r="63" spans="2:27" x14ac:dyDescent="0.35">
      <c r="B63" s="13"/>
      <c r="C63" s="13" t="s">
        <v>178</v>
      </c>
      <c r="D63" s="13" t="s">
        <v>139</v>
      </c>
      <c r="E63" s="13" t="s">
        <v>138</v>
      </c>
      <c r="F63" s="12" t="s">
        <v>193</v>
      </c>
      <c r="G63" s="12" t="s">
        <v>194</v>
      </c>
      <c r="H63" s="12" t="s">
        <v>195</v>
      </c>
      <c r="I63" s="12" t="s">
        <v>196</v>
      </c>
      <c r="J63" s="12" t="s">
        <v>197</v>
      </c>
      <c r="O63" s="12"/>
      <c r="P63" s="12"/>
      <c r="Q63" s="12"/>
      <c r="R63" s="12"/>
      <c r="S63" s="12"/>
    </row>
    <row r="64" spans="2:27" x14ac:dyDescent="0.35">
      <c r="B64" t="s">
        <v>111</v>
      </c>
      <c r="C64" s="2">
        <f t="shared" ref="C64:H64" si="28">T11</f>
        <v>88523</v>
      </c>
      <c r="D64" s="2">
        <f t="shared" si="28"/>
        <v>109433</v>
      </c>
      <c r="E64" s="2">
        <f t="shared" si="28"/>
        <v>128528</v>
      </c>
      <c r="F64" s="2">
        <f t="shared" si="28"/>
        <v>136340.84536251359</v>
      </c>
      <c r="G64" s="2">
        <f t="shared" si="28"/>
        <v>147778.19891132909</v>
      </c>
      <c r="H64" s="2">
        <f t="shared" si="28"/>
        <v>158223.11402398653</v>
      </c>
      <c r="I64" s="2">
        <f t="shared" ref="I64:J64" si="29">Z11</f>
        <v>167645.46885838226</v>
      </c>
      <c r="J64" s="2">
        <f t="shared" si="29"/>
        <v>176057.0246373922</v>
      </c>
    </row>
    <row r="65" spans="2:11" x14ac:dyDescent="0.35">
      <c r="B65" t="s">
        <v>199</v>
      </c>
      <c r="C65" s="2">
        <f>C64*(1-Ratios!Z24)</f>
        <v>71722.551566996233</v>
      </c>
      <c r="D65" s="2">
        <f>D64*(1-Ratios!Z25)</f>
        <v>95082.631205504324</v>
      </c>
      <c r="E65" s="2">
        <f>E64*(1-Ratios!Z26)</f>
        <v>110756.92790638801</v>
      </c>
      <c r="F65" s="2">
        <f>F64*(1-Comps!$E$22)</f>
        <v>114006.5675158435</v>
      </c>
      <c r="G65" s="2">
        <f>G64*(1-Comps!$E$22)</f>
        <v>123570.34435834883</v>
      </c>
      <c r="H65" s="2">
        <f>H64*(1-Comps!$E$22)</f>
        <v>132304.25617195299</v>
      </c>
      <c r="I65" s="2">
        <f>I64*(1-Comps!$E$22)</f>
        <v>140183.11543624444</v>
      </c>
      <c r="J65" s="2">
        <f>J64*(1-Comps!$E$22)</f>
        <v>147216.75674368383</v>
      </c>
    </row>
    <row r="66" spans="2:11" x14ac:dyDescent="0.35">
      <c r="B66" t="s">
        <v>201</v>
      </c>
      <c r="C66" s="2"/>
      <c r="D66" s="2">
        <f>U30-T30</f>
        <v>4200</v>
      </c>
      <c r="E66" s="2">
        <f t="shared" ref="E66:J66" si="30">V30-U30</f>
        <v>6800</v>
      </c>
      <c r="F66" s="2">
        <f t="shared" si="30"/>
        <v>-2899.7488918345225</v>
      </c>
      <c r="G66" s="2">
        <f t="shared" si="30"/>
        <v>1602.280844118246</v>
      </c>
      <c r="H66" s="2">
        <f t="shared" si="30"/>
        <v>1463.2482358810557</v>
      </c>
      <c r="I66" s="2">
        <f t="shared" si="30"/>
        <v>1319.9958008818176</v>
      </c>
      <c r="J66" s="2">
        <f t="shared" si="30"/>
        <v>1178.3910182032996</v>
      </c>
    </row>
    <row r="67" spans="2:11" x14ac:dyDescent="0.35">
      <c r="B67" t="s">
        <v>115</v>
      </c>
      <c r="D67" s="2">
        <f>(U28-U45)-(T28-T45)</f>
        <v>-45670</v>
      </c>
      <c r="E67" s="2">
        <f t="shared" ref="E67:J67" si="31">(V28-V45)-(U28-U45)</f>
        <v>15465</v>
      </c>
      <c r="F67" s="2">
        <f t="shared" si="31"/>
        <v>16642.237810775259</v>
      </c>
      <c r="G67" s="2">
        <f t="shared" si="31"/>
        <v>5583.1822323189408</v>
      </c>
      <c r="H67" s="2">
        <f t="shared" si="31"/>
        <v>5098.7201039271895</v>
      </c>
      <c r="I67" s="2">
        <f t="shared" si="31"/>
        <v>4599.553897977632</v>
      </c>
      <c r="J67" s="2">
        <f t="shared" si="31"/>
        <v>4106.1289721512294</v>
      </c>
    </row>
    <row r="68" spans="2:11" x14ac:dyDescent="0.35">
      <c r="B68" t="s">
        <v>200</v>
      </c>
      <c r="D68" s="2">
        <f>SUM(U$29-T$29,D66)</f>
        <v>44150</v>
      </c>
      <c r="E68" s="2">
        <f t="shared" ref="E68:J68" si="32">SUM(V$29-U$29,E66)</f>
        <v>76175</v>
      </c>
      <c r="F68" s="2">
        <f t="shared" si="32"/>
        <v>-35334.574996677489</v>
      </c>
      <c r="G68" s="2">
        <f t="shared" si="32"/>
        <v>16075.566738629979</v>
      </c>
      <c r="H68" s="2">
        <f t="shared" si="32"/>
        <v>14680.662729905674</v>
      </c>
      <c r="I68" s="2">
        <f t="shared" si="32"/>
        <v>13243.421507335352</v>
      </c>
      <c r="J68" s="2">
        <f t="shared" si="32"/>
        <v>11822.711060216199</v>
      </c>
    </row>
    <row r="69" spans="2:11" ht="15" thickBot="1" x14ac:dyDescent="0.4">
      <c r="B69" s="18" t="s">
        <v>116</v>
      </c>
      <c r="C69" s="18"/>
      <c r="D69" s="24">
        <f t="shared" ref="D69:J69" si="33">D65+D66-D67-D68</f>
        <v>100802.63120550432</v>
      </c>
      <c r="E69" s="24">
        <f t="shared" si="33"/>
        <v>25916.927906388009</v>
      </c>
      <c r="F69" s="24">
        <f t="shared" si="33"/>
        <v>129799.15580991122</v>
      </c>
      <c r="G69" s="24">
        <f t="shared" si="33"/>
        <v>103513.87623151815</v>
      </c>
      <c r="H69" s="24">
        <f t="shared" si="33"/>
        <v>113988.1215740012</v>
      </c>
      <c r="I69" s="24">
        <f t="shared" si="33"/>
        <v>123660.13583181327</v>
      </c>
      <c r="J69" s="24">
        <f t="shared" si="33"/>
        <v>132466.30772951967</v>
      </c>
    </row>
    <row r="70" spans="2:11" ht="15" thickTop="1" x14ac:dyDescent="0.35">
      <c r="B70" t="s">
        <v>206</v>
      </c>
      <c r="D70" s="3">
        <f>D69/$C$79</f>
        <v>13.570628864499774</v>
      </c>
      <c r="E70" s="3">
        <f t="shared" ref="E70:J70" si="34">E69/$C$79</f>
        <v>3.4890856093683373</v>
      </c>
      <c r="F70" s="3">
        <f t="shared" si="34"/>
        <v>17.474307459600325</v>
      </c>
      <c r="G70" s="3">
        <f t="shared" si="34"/>
        <v>13.935632233645416</v>
      </c>
      <c r="H70" s="3">
        <f t="shared" si="34"/>
        <v>15.345735268443887</v>
      </c>
      <c r="I70" s="3">
        <f t="shared" si="34"/>
        <v>16.647837349463284</v>
      </c>
      <c r="J70" s="3">
        <f t="shared" si="34"/>
        <v>17.833374761647775</v>
      </c>
    </row>
    <row r="72" spans="2:11" x14ac:dyDescent="0.35">
      <c r="B72" t="s">
        <v>202</v>
      </c>
      <c r="F72">
        <v>1</v>
      </c>
      <c r="G72">
        <v>2</v>
      </c>
      <c r="H72">
        <v>3</v>
      </c>
      <c r="I72">
        <v>4</v>
      </c>
      <c r="J72">
        <v>5</v>
      </c>
      <c r="K72" t="s">
        <v>117</v>
      </c>
    </row>
    <row r="73" spans="2:11" x14ac:dyDescent="0.35">
      <c r="B73" t="s">
        <v>116</v>
      </c>
      <c r="D73" s="2">
        <f>D69</f>
        <v>100802.63120550432</v>
      </c>
      <c r="E73" s="2">
        <f t="shared" ref="E73:J73" si="35">E69</f>
        <v>25916.927906388009</v>
      </c>
      <c r="F73" s="2">
        <f t="shared" si="35"/>
        <v>129799.15580991122</v>
      </c>
      <c r="G73" s="2">
        <f t="shared" si="35"/>
        <v>103513.87623151815</v>
      </c>
      <c r="H73" s="2">
        <f t="shared" si="35"/>
        <v>113988.1215740012</v>
      </c>
      <c r="I73" s="2">
        <f t="shared" si="35"/>
        <v>123660.13583181327</v>
      </c>
      <c r="J73" s="2">
        <f t="shared" si="35"/>
        <v>132466.30772951967</v>
      </c>
      <c r="K73" s="2">
        <f>J73*(1+0.021)/(Comps!D3-0.021)</f>
        <v>2148851.0214529405</v>
      </c>
    </row>
    <row r="74" spans="2:11" x14ac:dyDescent="0.35">
      <c r="B74" t="s">
        <v>137</v>
      </c>
      <c r="D74" s="2">
        <f>D73</f>
        <v>100802.63120550432</v>
      </c>
      <c r="E74" s="2">
        <f>E73</f>
        <v>25916.927906388009</v>
      </c>
      <c r="F74" s="2">
        <f>F73/((1+Comps!$D$3)^F72)</f>
        <v>119747.57671443469</v>
      </c>
      <c r="G74" s="2">
        <f>G73/((1+Comps!$D$3)^G72)</f>
        <v>88102.514362525093</v>
      </c>
      <c r="H74" s="2">
        <f>H73/((1+Comps!$D$3)^H72)</f>
        <v>89504.360473686378</v>
      </c>
      <c r="I74" s="2">
        <f>I73/((1+Comps!$D$3)^I72)</f>
        <v>89579.612962598374</v>
      </c>
      <c r="J74" s="2">
        <f>J73/((1+Comps!$D$3)^J72)</f>
        <v>88527.817870557512</v>
      </c>
      <c r="K74" s="2">
        <f>K73/((1+Comps!$D$3)^5)</f>
        <v>1436086.6179389597</v>
      </c>
    </row>
    <row r="76" spans="2:11" x14ac:dyDescent="0.35">
      <c r="B76" t="s">
        <v>130</v>
      </c>
      <c r="C76" s="2">
        <f>SUM(D74:K74)</f>
        <v>2038268.0594346542</v>
      </c>
    </row>
    <row r="77" spans="2:11" x14ac:dyDescent="0.35">
      <c r="B77" t="s">
        <v>127</v>
      </c>
      <c r="C77" s="2">
        <f>Ratios!Q22</f>
        <v>43151</v>
      </c>
    </row>
    <row r="78" spans="2:11" x14ac:dyDescent="0.35">
      <c r="B78" t="s">
        <v>203</v>
      </c>
      <c r="C78" s="2">
        <f>V24</f>
        <v>94565</v>
      </c>
    </row>
    <row r="79" spans="2:11" x14ac:dyDescent="0.35">
      <c r="B79" t="s">
        <v>204</v>
      </c>
      <c r="C79">
        <v>7428</v>
      </c>
    </row>
    <row r="80" spans="2:11" x14ac:dyDescent="0.35">
      <c r="B80" s="13" t="s">
        <v>205</v>
      </c>
      <c r="C80" s="38">
        <f>(C76-C77+C78)/C79</f>
        <v>281.32499453886027</v>
      </c>
    </row>
  </sheetData>
  <sortState xmlns:xlrd2="http://schemas.microsoft.com/office/spreadsheetml/2017/richdata2" columnSort="1" ref="AG3:AI60">
    <sortCondition ref="AG4:AI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</vt:lpstr>
      <vt:lpstr>Balance Sheet</vt:lpstr>
      <vt:lpstr>Cash Flow</vt:lpstr>
      <vt:lpstr>Ratios</vt:lpstr>
      <vt:lpstr>Comps</vt:lpstr>
      <vt:lpstr>MSFT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Cleave</dc:creator>
  <cp:lastModifiedBy>Jonathan Allen Cleave</cp:lastModifiedBy>
  <dcterms:created xsi:type="dcterms:W3CDTF">2026-05-06T20:46:36Z</dcterms:created>
  <dcterms:modified xsi:type="dcterms:W3CDTF">2026-05-11T19:04:33Z</dcterms:modified>
</cp:coreProperties>
</file>